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ged Receivables Detail" sheetId="1" r:id="rId1"/>
  </sheets>
  <calcPr calcId="162913"/>
</workbook>
</file>

<file path=xl/sharedStrings.xml><?xml version="1.0" encoding="utf-8"?>
<sst xmlns="http://schemas.openxmlformats.org/spreadsheetml/2006/main" count="43" uniqueCount="43">
  <si>
    <t>Aged Receivables Detail</t>
  </si>
  <si>
    <t>Demo Company (UK)</t>
  </si>
  <si>
    <t>As at 28 February 2026</t>
  </si>
  <si>
    <t>Ageing by due date</t>
  </si>
  <si>
    <t>Invoice Date</t>
  </si>
  <si>
    <t>Due Date</t>
  </si>
  <si>
    <t>Invoice Number</t>
  </si>
  <si>
    <t>Invoice Reference</t>
  </si>
  <si>
    <t>Current</t>
  </si>
  <si>
    <t>&lt; 1 Month</t>
  </si>
  <si>
    <t>1 Month</t>
  </si>
  <si>
    <t>2 Months</t>
  </si>
  <si>
    <t>3 Months</t>
  </si>
  <si>
    <t>Older</t>
  </si>
  <si>
    <t>Total</t>
  </si>
  <si>
    <t>City Limousines</t>
  </si>
  <si>
    <t>INV-0017</t>
  </si>
  <si>
    <t>P/O 9711</t>
  </si>
  <si>
    <t>INV-0023</t>
  </si>
  <si>
    <t>INV-0028</t>
  </si>
  <si>
    <t>Book</t>
  </si>
  <si>
    <t>Total City Limousines</t>
  </si>
  <si>
    <t>DIISR - Small Business Services</t>
  </si>
  <si>
    <t>INV-0027</t>
  </si>
  <si>
    <t>Yr Ref W08-143</t>
  </si>
  <si>
    <t>INV-0033</t>
  </si>
  <si>
    <t>Total DIISR - Small Business Services</t>
  </si>
  <si>
    <t>Hamilton Smith Ltd</t>
  </si>
  <si>
    <t>INV-0029</t>
  </si>
  <si>
    <t>Monthly Support</t>
  </si>
  <si>
    <t>Total Hamilton Smith Ltd</t>
  </si>
  <si>
    <t>Port &amp; Philip Freight</t>
  </si>
  <si>
    <t>INV-0041</t>
  </si>
  <si>
    <t>INV-0042</t>
  </si>
  <si>
    <t>INV-0031</t>
  </si>
  <si>
    <t>Total Port &amp; Philip Freight</t>
  </si>
  <si>
    <t>Rex Media Group</t>
  </si>
  <si>
    <t>INV-0032</t>
  </si>
  <si>
    <t>Total Rex Media Group</t>
  </si>
  <si>
    <t>Young Bros Transport</t>
  </si>
  <si>
    <t>INV-0030</t>
  </si>
  <si>
    <t>Total Young Bros Transport</t>
  </si>
  <si>
    <t>Percentage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</si>
</sst>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  <xf numFmtId="10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37" customWidth="1"/>
    <col min="2" max="2" width="12.66015625" customWidth="1"/>
    <col min="3" max="3" width="18.16015625" customWidth="1"/>
    <col min="4" max="4" width="20" customWidth="1"/>
    <col min="5" max="5" width="9.83203125" customWidth="1"/>
    <col min="6" max="6" width="12.16015625" customWidth="1"/>
    <col min="7" max="7" width="10.33203125" customWidth="1"/>
    <col min="8" max="9" width="11.16015625" customWidth="1"/>
    <col min="10" max="10" width="7.33203125" customWidth="1"/>
    <col min="11" max="11" width="9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6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ht="13.35" customHeight="true"/>
    <row r="8" ht="12.1" customHeight="true" customFormat="true" s="5">
      <c r="A8" s="8" t="s">
        <v>15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ht="10.95" customHeight="true" customFormat="true" s="9">
      <c r="A9" s="10">
        <v>46018</v>
      </c>
      <c r="B9" s="10">
        <v>46028</v>
      </c>
      <c r="C9" s="11" t="s">
        <v>16</v>
      </c>
      <c r="D9" s="11" t="s">
        <v>17</v>
      </c>
      <c r="E9" s="12">
        <v>0</v>
      </c>
      <c r="F9" s="12">
        <v>0</v>
      </c>
      <c r="G9" s="12">
        <v>250.00</v>
      </c>
      <c r="H9" s="12">
        <v>0</v>
      </c>
      <c r="I9" s="12">
        <v>0</v>
      </c>
      <c r="J9" s="12">
        <v>0</v>
      </c>
      <c r="K9" s="12">
        <v>250.00</v>
      </c>
    </row>
    <row r="10" ht="10.95" customHeight="true" customFormat="true" s="9">
      <c r="A10" s="13">
        <v>46049</v>
      </c>
      <c r="B10" s="13">
        <v>46059</v>
      </c>
      <c r="C10" s="14" t="s">
        <v>18</v>
      </c>
      <c r="D10" s="14" t="s">
        <v>17</v>
      </c>
      <c r="E10" s="15">
        <v>0</v>
      </c>
      <c r="F10" s="15">
        <v>250.00</v>
      </c>
      <c r="G10" s="15">
        <v>0</v>
      </c>
      <c r="H10" s="15">
        <v>0</v>
      </c>
      <c r="I10" s="15">
        <v>0</v>
      </c>
      <c r="J10" s="15">
        <v>0</v>
      </c>
      <c r="K10" s="15">
        <v>250.00</v>
      </c>
    </row>
    <row r="11" ht="10.95" customHeight="true" customFormat="true" s="9">
      <c r="A11" s="13">
        <v>46054</v>
      </c>
      <c r="B11" s="13">
        <v>46064</v>
      </c>
      <c r="C11" s="14" t="s">
        <v>19</v>
      </c>
      <c r="D11" s="14" t="s">
        <v>20</v>
      </c>
      <c r="E11" s="15">
        <v>0</v>
      </c>
      <c r="F11" s="15">
        <v>19.95</v>
      </c>
      <c r="G11" s="15">
        <v>0</v>
      </c>
      <c r="H11" s="15">
        <v>0</v>
      </c>
      <c r="I11" s="15">
        <v>0</v>
      </c>
      <c r="J11" s="15">
        <v>0</v>
      </c>
      <c r="K11" s="15">
        <v>19.95</v>
      </c>
    </row>
    <row r="12" ht="10.95" customHeight="true" customFormat="true" s="9">
      <c r="A12" s="16" t="s">
        <v>21</v>
      </c>
      <c r="B12" s="16"/>
      <c r="C12" s="16"/>
      <c r="D12" s="16"/>
      <c r="E12" s="17">
        <f ca="1">SUM(E9:E11)</f>
        <v>0</v>
      </c>
      <c r="F12" s="17">
        <f ca="1">SUM(F9:F11)</f>
        <v>0</v>
      </c>
      <c r="G12" s="17">
        <f ca="1">SUM(G9:G11)</f>
        <v>0</v>
      </c>
      <c r="H12" s="17">
        <f ca="1">SUM(H9:H11)</f>
        <v>0</v>
      </c>
      <c r="I12" s="17">
        <f ca="1">SUM(I9:I11)</f>
        <v>0</v>
      </c>
      <c r="J12" s="17">
        <f ca="1">SUM(J9:J11)</f>
        <v>0</v>
      </c>
      <c r="K12" s="17">
        <f ca="1">SUM(K9:K11)</f>
        <v>0</v>
      </c>
    </row>
    <row r="13" ht="13.35" customHeight="true"/>
    <row r="14" ht="12.1" customHeight="true" customFormat="true" s="5">
      <c r="A14" s="8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ht="10.95" customHeight="true" customFormat="true" s="9">
      <c r="A15" s="10">
        <v>46049</v>
      </c>
      <c r="B15" s="10">
        <v>46059</v>
      </c>
      <c r="C15" s="11" t="s">
        <v>23</v>
      </c>
      <c r="D15" s="11" t="s">
        <v>24</v>
      </c>
      <c r="E15" s="12">
        <v>0</v>
      </c>
      <c r="F15" s="12">
        <v>850.00</v>
      </c>
      <c r="G15" s="12">
        <v>0</v>
      </c>
      <c r="H15" s="12">
        <v>0</v>
      </c>
      <c r="I15" s="12">
        <v>0</v>
      </c>
      <c r="J15" s="12">
        <v>0</v>
      </c>
      <c r="K15" s="12">
        <v>850.00</v>
      </c>
    </row>
    <row r="16" ht="10.95" customHeight="true" customFormat="true" s="9">
      <c r="A16" s="13">
        <v>46078</v>
      </c>
      <c r="B16" s="13">
        <v>46088</v>
      </c>
      <c r="C16" s="14" t="s">
        <v>25</v>
      </c>
      <c r="D16" s="14" t="s">
        <v>24</v>
      </c>
      <c r="E16" s="15">
        <v>269.95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269.95</v>
      </c>
    </row>
    <row r="17" ht="10.95" customHeight="true" customFormat="true" s="9">
      <c r="A17" s="16" t="s">
        <v>26</v>
      </c>
      <c r="B17" s="16"/>
      <c r="C17" s="16"/>
      <c r="D17" s="16"/>
      <c r="E17" s="17">
        <f ca="1">SUM(E15:E16)</f>
        <v>0</v>
      </c>
      <c r="F17" s="17">
        <f ca="1">SUM(F15:F16)</f>
        <v>0</v>
      </c>
      <c r="G17" s="17">
        <f ca="1">SUM(G15:G16)</f>
        <v>0</v>
      </c>
      <c r="H17" s="17">
        <f ca="1">SUM(H15:H16)</f>
        <v>0</v>
      </c>
      <c r="I17" s="17">
        <f ca="1">SUM(I15:I16)</f>
        <v>0</v>
      </c>
      <c r="J17" s="17">
        <f ca="1">SUM(J15:J16)</f>
        <v>0</v>
      </c>
      <c r="K17" s="17">
        <f ca="1">SUM(K15:K16)</f>
        <v>0</v>
      </c>
    </row>
    <row r="18" ht="13.35" customHeight="true"/>
    <row r="19" ht="12.1" customHeight="true" customFormat="true" s="5">
      <c r="A19" s="8" t="s">
        <v>27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0.95" customHeight="true" customFormat="true" s="9">
      <c r="A20" s="10">
        <v>46077</v>
      </c>
      <c r="B20" s="10">
        <v>46087</v>
      </c>
      <c r="C20" s="11" t="s">
        <v>28</v>
      </c>
      <c r="D20" s="11" t="s">
        <v>29</v>
      </c>
      <c r="E20" s="12">
        <v>541.25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541.25</v>
      </c>
    </row>
    <row r="21" ht="10.95" customHeight="true" customFormat="true" s="9">
      <c r="A21" s="16" t="s">
        <v>30</v>
      </c>
      <c r="B21" s="16"/>
      <c r="C21" s="16"/>
      <c r="D21" s="16"/>
      <c r="E21" s="17">
        <f ca="1">E20</f>
        <v>0</v>
      </c>
      <c r="F21" s="17">
        <f ca="1">F20</f>
        <v>0</v>
      </c>
      <c r="G21" s="17">
        <f ca="1">G20</f>
        <v>0</v>
      </c>
      <c r="H21" s="17">
        <f ca="1">H20</f>
        <v>0</v>
      </c>
      <c r="I21" s="17">
        <f ca="1">I20</f>
        <v>0</v>
      </c>
      <c r="J21" s="17">
        <f ca="1">J20</f>
        <v>0</v>
      </c>
      <c r="K21" s="17">
        <f ca="1">K20</f>
        <v>0</v>
      </c>
    </row>
    <row r="22" ht="13.35" customHeight="true"/>
    <row r="23" ht="12.1" customHeight="true" customFormat="true" s="5">
      <c r="A23" s="8" t="s">
        <v>31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0.95" customHeight="true" customFormat="true" s="9">
      <c r="A24" s="10">
        <v>46075</v>
      </c>
      <c r="B24" s="10">
        <v>46105</v>
      </c>
      <c r="C24" s="11" t="s">
        <v>32</v>
      </c>
      <c r="D24" s="11"/>
      <c r="E24" s="12">
        <v>250.00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250.00</v>
      </c>
    </row>
    <row r="25" ht="10.95" customHeight="true" customFormat="true" s="9">
      <c r="A25" s="13">
        <v>46076</v>
      </c>
      <c r="B25" s="13">
        <v>46106</v>
      </c>
      <c r="C25" s="14" t="s">
        <v>33</v>
      </c>
      <c r="D25" s="14"/>
      <c r="E25" s="15">
        <v>1995.00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1995.00</v>
      </c>
    </row>
    <row r="26" ht="10.95" customHeight="true" customFormat="true" s="9">
      <c r="A26" s="13">
        <v>46077</v>
      </c>
      <c r="B26" s="13">
        <v>46087</v>
      </c>
      <c r="C26" s="14" t="s">
        <v>34</v>
      </c>
      <c r="D26" s="14" t="s">
        <v>29</v>
      </c>
      <c r="E26" s="15">
        <v>541.25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541.25</v>
      </c>
    </row>
    <row r="27" ht="10.95" customHeight="true" customFormat="true" s="9">
      <c r="A27" s="16" t="s">
        <v>35</v>
      </c>
      <c r="B27" s="16"/>
      <c r="C27" s="16"/>
      <c r="D27" s="16"/>
      <c r="E27" s="17">
        <f ca="1">SUM(E24:E26)</f>
        <v>0</v>
      </c>
      <c r="F27" s="17">
        <f ca="1">SUM(F24:F26)</f>
        <v>0</v>
      </c>
      <c r="G27" s="17">
        <f ca="1">SUM(G24:G26)</f>
        <v>0</v>
      </c>
      <c r="H27" s="17">
        <f ca="1">SUM(H24:H26)</f>
        <v>0</v>
      </c>
      <c r="I27" s="17">
        <f ca="1">SUM(I24:I26)</f>
        <v>0</v>
      </c>
      <c r="J27" s="17">
        <f ca="1">SUM(J24:J26)</f>
        <v>0</v>
      </c>
      <c r="K27" s="17">
        <f ca="1">SUM(K24:K26)</f>
        <v>0</v>
      </c>
    </row>
    <row r="28" ht="13.35" customHeight="true"/>
    <row r="29" ht="12.1" customHeight="true" customFormat="true" s="5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0.95" customHeight="true" customFormat="true" s="9">
      <c r="A30" s="10">
        <v>46077</v>
      </c>
      <c r="B30" s="10">
        <v>46087</v>
      </c>
      <c r="C30" s="11" t="s">
        <v>37</v>
      </c>
      <c r="D30" s="11" t="s">
        <v>29</v>
      </c>
      <c r="E30" s="12">
        <v>541.25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541.25</v>
      </c>
    </row>
    <row r="31" ht="10.95" customHeight="true" customFormat="true" s="9">
      <c r="A31" s="16" t="s">
        <v>38</v>
      </c>
      <c r="B31" s="16"/>
      <c r="C31" s="16"/>
      <c r="D31" s="16"/>
      <c r="E31" s="17">
        <f ca="1">E30</f>
        <v>0</v>
      </c>
      <c r="F31" s="17">
        <f ca="1">F30</f>
        <v>0</v>
      </c>
      <c r="G31" s="17">
        <f ca="1">G30</f>
        <v>0</v>
      </c>
      <c r="H31" s="17">
        <f ca="1">H30</f>
        <v>0</v>
      </c>
      <c r="I31" s="17">
        <f ca="1">I30</f>
        <v>0</v>
      </c>
      <c r="J31" s="17">
        <f ca="1">J30</f>
        <v>0</v>
      </c>
      <c r="K31" s="17">
        <f ca="1">K30</f>
        <v>0</v>
      </c>
    </row>
    <row r="32" ht="13.35" customHeight="true"/>
    <row r="33" ht="12.1" customHeight="true" customFormat="true" s="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0.95" customHeight="true" customFormat="true" s="9">
      <c r="A34" s="10">
        <v>46077</v>
      </c>
      <c r="B34" s="10">
        <v>46087</v>
      </c>
      <c r="C34" s="11" t="s">
        <v>40</v>
      </c>
      <c r="D34" s="11" t="s">
        <v>29</v>
      </c>
      <c r="E34" s="12">
        <v>541.25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541.25</v>
      </c>
    </row>
    <row r="35" ht="10.95" customHeight="true" customFormat="true" s="9">
      <c r="A35" s="16" t="s">
        <v>41</v>
      </c>
      <c r="B35" s="16"/>
      <c r="C35" s="16"/>
      <c r="D35" s="16"/>
      <c r="E35" s="17">
        <f ca="1">E34</f>
        <v>0</v>
      </c>
      <c r="F35" s="17">
        <f ca="1">F34</f>
        <v>0</v>
      </c>
      <c r="G35" s="17">
        <f ca="1">G34</f>
        <v>0</v>
      </c>
      <c r="H35" s="17">
        <f ca="1">H34</f>
        <v>0</v>
      </c>
      <c r="I35" s="17">
        <f ca="1">I34</f>
        <v>0</v>
      </c>
      <c r="J35" s="17">
        <f ca="1">J34</f>
        <v>0</v>
      </c>
      <c r="K35" s="17">
        <f ca="1">K34</f>
        <v>0</v>
      </c>
    </row>
    <row r="36" ht="13.35" customHeight="true"/>
    <row r="37" ht="10.95" customHeight="true" customFormat="true" s="9">
      <c r="A37" s="18" t="s">
        <v>14</v>
      </c>
      <c r="B37" s="18"/>
      <c r="C37" s="18"/>
      <c r="D37" s="18"/>
      <c r="E37" s="19">
        <f ca="1">SUM(E12,E17,E21,E27,E31,E35)</f>
        <v>0</v>
      </c>
      <c r="F37" s="19">
        <f ca="1">SUM(F12,F17,F21,F27,F31,F35)</f>
        <v>0</v>
      </c>
      <c r="G37" s="19">
        <f ca="1">SUM(G12,G17,G21,G27,G31,G35)</f>
        <v>0</v>
      </c>
      <c r="H37" s="19">
        <f ca="1">SUM(H12,H17,H21,H27,H31,H35)</f>
        <v>0</v>
      </c>
      <c r="I37" s="19">
        <f ca="1">SUM(I12,I17,I21,I27,I31,I35)</f>
        <v>0</v>
      </c>
      <c r="J37" s="19">
        <f ca="1">SUM(J12,J17,J21,J27,J31,J35)</f>
        <v>0</v>
      </c>
      <c r="K37" s="19">
        <f ca="1">SUM(K12,K17,K21,K27,K31,K35)</f>
        <v>0</v>
      </c>
    </row>
    <row r="38" ht="13.35" customHeight="true"/>
    <row r="39" ht="10.95" customHeight="true" customFormat="true" s="9">
      <c r="A39" s="18" t="s">
        <v>42</v>
      </c>
      <c r="B39" s="18"/>
      <c r="C39" s="18"/>
      <c r="D39" s="18"/>
      <c r="E39" s="20">
        <f ca="1">(SUM(E12,E17,E21,E27,E31,E35) / SUM(E12:J12,E17:J17,E21:J21,E27:J27,E31:J31,E35:J35))</f>
        <v>0</v>
      </c>
      <c r="F39" s="20">
        <f ca="1">(SUM(F12,F17,F21,F27,F31,F35) / SUM(E12:J12,E17:J17,E21:J21,E27:J27,E31:J31,E35:J35))</f>
        <v>0</v>
      </c>
      <c r="G39" s="20">
        <f ca="1">(SUM(G12,G17,G21,G27,G31,G35) / SUM(E12:J12,E17:J17,E21:J21,E27:J27,E31:J31,E35:J35))</f>
        <v>0</v>
      </c>
      <c r="H39" s="20">
        <f ca="1">(SUM(H12,H17,H21,H27,H31,H35) / SUM(E12:J12,E17:J17,E21:J21,E27:J27,E31:J31,E35:J35))</f>
        <v>0</v>
      </c>
      <c r="I39" s="20">
        <f ca="1">(SUM(I12,I17,I21,I27,I31,I35) / SUM(E12:J12,E17:J17,E21:J21,E27:J27,E31:J31,E35:J35))</f>
        <v>0</v>
      </c>
      <c r="J39" s="20">
        <f ca="1">(SUM(J12,J17,J21,J27,J31,J35) / SUM(E12:J12,E17:J17,E21:J21,E27:J27,E31:J31,E35:J35))</f>
        <v>0</v>
      </c>
      <c r="K39" s="20">
        <f ca="1">(SUM(K12,K17,K21,K27,K31,K35) / SUM(K12,K17,K21,K27,K31,K35))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