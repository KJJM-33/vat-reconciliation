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4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.3671875" customWidth="1" style="9" min="1" max="1"/>
    <col width="34.83203125" customWidth="1" style="9" min="2" max="2"/>
    <col width="13.83203125" customWidth="1" style="9" min="3" max="3"/>
  </cols>
  <sheetData>
    <row r="1" ht="16.7" customFormat="1" customHeight="1" s="1">
      <c r="A1" s="2" t="inlineStr">
        <is>
          <t>Balance Sheet</t>
        </is>
      </c>
      <c r="B1" s="2" t="n"/>
      <c r="C1" s="2" t="n"/>
    </row>
    <row r="2" ht="14.4" customFormat="1" customHeight="1" s="3">
      <c r="A2" s="4" t="inlineStr">
        <is>
          <t>Demo Company (UK)</t>
        </is>
      </c>
      <c r="B2" s="4" t="n"/>
      <c r="C2" s="4" t="n"/>
    </row>
    <row r="3" ht="14.4" customFormat="1" customHeight="1" s="3">
      <c r="A3" s="4" t="inlineStr">
        <is>
          <t>As at 28 February 2026</t>
        </is>
      </c>
      <c r="B3" s="4" t="n"/>
      <c r="C3" s="4" t="n"/>
    </row>
    <row r="4" ht="13.35" customHeight="1" s="9"/>
    <row r="5" ht="12.1" customFormat="1" customHeight="1" s="5">
      <c r="A5" s="6" t="n"/>
      <c r="B5" s="7" t="inlineStr">
        <is>
          <t>Account</t>
        </is>
      </c>
      <c r="C5" s="8" t="inlineStr">
        <is>
          <t>28 Feb 2026</t>
        </is>
      </c>
    </row>
    <row r="6" ht="13.35" customHeight="1" s="9"/>
    <row r="7" ht="12.1" customFormat="1" customHeight="1" s="5">
      <c r="A7" s="6" t="inlineStr">
        <is>
          <t>Fixed Assets</t>
        </is>
      </c>
      <c r="B7" s="6" t="n"/>
      <c r="C7" s="6" t="n"/>
    </row>
    <row r="8" ht="10.95" customHeight="1" s="9">
      <c r="A8" s="10" t="n"/>
      <c r="B8" s="10" t="inlineStr">
        <is>
          <t>Tangible Assets</t>
        </is>
      </c>
      <c r="C8" s="10" t="n"/>
    </row>
    <row r="9" ht="10.95" customHeight="1" s="9">
      <c r="B9" s="11" t="inlineStr">
        <is>
          <t>Computer Equipment</t>
        </is>
      </c>
      <c r="C9" s="12" t="n">
        <v>-49283.5</v>
      </c>
    </row>
    <row r="10" ht="10.95" customHeight="1" s="9">
      <c r="B10" s="11" t="inlineStr">
        <is>
          <t>Office Equipment</t>
        </is>
      </c>
      <c r="C10" s="12" t="n">
        <v>128450</v>
      </c>
    </row>
    <row r="11" ht="10.95" customHeight="1" s="9">
      <c r="B11" s="13" t="inlineStr">
        <is>
          <t>Total Tangible Assets</t>
        </is>
      </c>
      <c r="C11" s="14">
        <f>SUM(C9:C10)</f>
        <v/>
      </c>
    </row>
    <row r="12" ht="10.95" customHeight="1" s="9">
      <c r="A12" s="13" t="inlineStr">
        <is>
          <t>Total Fixed Assets</t>
        </is>
      </c>
      <c r="C12" s="14">
        <f>(0 + C11)</f>
        <v/>
      </c>
    </row>
    <row r="13" ht="13.35" customHeight="1" s="9"/>
    <row r="14" ht="12.1" customFormat="1" customHeight="1" s="5">
      <c r="A14" s="6" t="inlineStr">
        <is>
          <t>Current Assets</t>
        </is>
      </c>
      <c r="B14" s="6" t="n"/>
      <c r="C14" s="6" t="n"/>
    </row>
    <row r="15" ht="10.95" customHeight="1" s="9">
      <c r="A15" s="10" t="n"/>
      <c r="B15" s="10" t="inlineStr">
        <is>
          <t>Cash at bank and in hand</t>
        </is>
      </c>
      <c r="C15" s="10" t="n"/>
    </row>
    <row r="16" ht="10.95" customHeight="1" s="9">
      <c r="B16" s="11" t="inlineStr">
        <is>
          <t>Business Bank Account</t>
        </is>
      </c>
      <c r="C16" s="12" t="n">
        <v>367196.5</v>
      </c>
    </row>
    <row r="17" ht="10.95" customHeight="1" s="9">
      <c r="B17" s="13" t="inlineStr">
        <is>
          <t>Total Cash at bank and in hand</t>
        </is>
      </c>
      <c r="C17" s="14">
        <f>C16</f>
        <v/>
      </c>
    </row>
    <row r="18" ht="10.95" customHeight="1" s="9">
      <c r="B18" s="11" t="inlineStr">
        <is>
          <t>Accounts Receivable</t>
        </is>
      </c>
      <c r="C18" s="12" t="n">
        <v>302495</v>
      </c>
    </row>
    <row r="19" ht="10.95" customHeight="1" s="9">
      <c r="A19" s="13" t="inlineStr">
        <is>
          <t>Total Current Assets</t>
        </is>
      </c>
      <c r="C19" s="14">
        <f>(C18 + C17)</f>
        <v/>
      </c>
    </row>
    <row r="20" ht="13.35" customHeight="1" s="9"/>
    <row r="21" ht="12.1" customFormat="1" customHeight="1" s="5">
      <c r="A21" s="6" t="inlineStr">
        <is>
          <t>Creditors: amounts falling due within one year</t>
        </is>
      </c>
      <c r="B21" s="6" t="n"/>
      <c r="C21" s="6" t="n"/>
    </row>
    <row r="22" ht="10.95" customHeight="1" s="9">
      <c r="B22" s="15" t="inlineStr">
        <is>
          <t>Accounts Payable</t>
        </is>
      </c>
      <c r="C22" s="16" t="n">
        <v>468134.5</v>
      </c>
    </row>
    <row r="23" ht="10.95" customHeight="1" s="9">
      <c r="B23" s="11" t="inlineStr">
        <is>
          <t>Historical Adjustment</t>
        </is>
      </c>
      <c r="C23" s="12" t="n">
        <v>206549</v>
      </c>
    </row>
    <row r="24" ht="10.95" customHeight="1" s="9">
      <c r="B24" s="11" t="inlineStr">
        <is>
          <t>Unpaid Expense Claims</t>
        </is>
      </c>
      <c r="C24" s="12" t="n">
        <v>1745</v>
      </c>
    </row>
    <row r="25" ht="10.95" customHeight="1" s="9">
      <c r="B25" s="11" t="inlineStr">
        <is>
          <t>VAT</t>
        </is>
      </c>
      <c r="C25" s="12" t="n">
        <v>-12217</v>
      </c>
    </row>
    <row r="26" ht="10.95" customHeight="1" s="9">
      <c r="A26" s="13" t="inlineStr">
        <is>
          <t>Total Creditors: amounts falling due within one year</t>
        </is>
      </c>
      <c r="C26" s="14">
        <f>SUM(C22:C25)</f>
        <v/>
      </c>
    </row>
    <row r="27" ht="13.35" customHeight="1" s="9"/>
    <row r="28" ht="10.95" customHeight="1" s="9">
      <c r="B28" s="17" t="inlineStr">
        <is>
          <t>Net Current Assets (Liabilities)</t>
        </is>
      </c>
      <c r="C28" s="18">
        <f>(C19 - C26)</f>
        <v/>
      </c>
    </row>
    <row r="29" ht="13.35" customHeight="1" s="9"/>
    <row r="30" ht="10.95" customHeight="1" s="9">
      <c r="B30" s="17" t="inlineStr">
        <is>
          <t>Total Assets less Current Liabilities</t>
        </is>
      </c>
      <c r="C30" s="18">
        <f>(C12 + C28)</f>
        <v/>
      </c>
    </row>
    <row r="31" ht="13.35" customHeight="1" s="9"/>
    <row r="32" ht="10.95" customHeight="1" s="9">
      <c r="B32" s="17" t="inlineStr">
        <is>
          <t>Net Assets</t>
        </is>
      </c>
      <c r="C32" s="18">
        <f>(C30 - (0 + 0))</f>
        <v/>
      </c>
    </row>
    <row r="33" ht="13.35" customHeight="1" s="9"/>
    <row r="34" ht="12.1" customFormat="1" customHeight="1" s="5">
      <c r="A34" s="6" t="inlineStr">
        <is>
          <t>Capital and Reserves</t>
        </is>
      </c>
      <c r="B34" s="6" t="n"/>
      <c r="C34" s="6" t="n"/>
    </row>
    <row r="35" ht="10.95" customHeight="1" s="9">
      <c r="B35" s="15" t="inlineStr">
        <is>
          <t>Current Year Earnings</t>
        </is>
      </c>
      <c r="C35" s="16" t="n">
        <v>498960.5</v>
      </c>
    </row>
    <row r="36" ht="10.95" customHeight="1" s="9">
      <c r="B36" s="11" t="inlineStr">
        <is>
          <t>Retained Earnings</t>
        </is>
      </c>
      <c r="C36" s="12" t="n">
        <v>-414314</v>
      </c>
    </row>
    <row r="37" ht="10.95" customHeight="1" s="9">
      <c r="A37" s="13" t="inlineStr">
        <is>
          <t>Total Capital and Reserves</t>
        </is>
      </c>
      <c r="C37" s="14">
        <f>SUM(C35:C36)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