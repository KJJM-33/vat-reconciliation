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Payables Detai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0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29.5" customWidth="1" style="9" min="1" max="1"/>
    <col width="12.66015625" customWidth="1" style="9" min="2" max="2"/>
    <col width="20" customWidth="1" style="9" min="3" max="3"/>
    <col width="9.83203125" customWidth="1" style="9" min="4" max="4"/>
    <col width="12.16015625" customWidth="1" style="9" min="5" max="5"/>
    <col width="10.33203125" customWidth="1" style="9" min="6" max="6"/>
    <col width="11.16015625" customWidth="1" style="9" min="7" max="8"/>
    <col width="7.33203125" customWidth="1" style="9" min="9" max="9"/>
    <col width="9" customWidth="1" style="9" min="10" max="10"/>
  </cols>
  <sheetData>
    <row r="1" ht="16.7" customFormat="1" customHeight="1" s="1">
      <c r="A1" s="2" t="inlineStr">
        <is>
          <t>Aged Payables Detail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14.4" customFormat="1" customHeight="1" s="3">
      <c r="A4" s="4" t="inlineStr">
        <is>
          <t>Ageing by due date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3.35" customHeight="1" s="9"/>
    <row r="6" ht="12.1" customFormat="1" customHeight="1" s="5">
      <c r="A6" s="6" t="inlineStr">
        <is>
          <t>Invoice Date</t>
        </is>
      </c>
      <c r="B6" s="6" t="inlineStr">
        <is>
          <t>Due Date</t>
        </is>
      </c>
      <c r="C6" s="6" t="inlineStr">
        <is>
          <t>Invoice Reference</t>
        </is>
      </c>
      <c r="D6" s="7" t="inlineStr">
        <is>
          <t>Current</t>
        </is>
      </c>
      <c r="E6" s="7" t="inlineStr">
        <is>
          <t>&lt; 1 Month</t>
        </is>
      </c>
      <c r="F6" s="7" t="inlineStr">
        <is>
          <t>1 Month</t>
        </is>
      </c>
      <c r="G6" s="7" t="inlineStr">
        <is>
          <t>2 Months</t>
        </is>
      </c>
      <c r="H6" s="7" t="inlineStr">
        <is>
          <t>3 Months</t>
        </is>
      </c>
      <c r="I6" s="7" t="inlineStr">
        <is>
          <t>Older</t>
        </is>
      </c>
      <c r="J6" s="7" t="inlineStr">
        <is>
          <t>Total</t>
        </is>
      </c>
    </row>
    <row r="7" ht="13.35" customHeight="1" s="9"/>
    <row r="8" ht="12.1" customFormat="1" customHeight="1" s="5">
      <c r="A8" s="8" t="inlineStr">
        <is>
          <t>Central Copiers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0.95" customHeight="1" s="9">
      <c r="A9" s="10" t="n">
        <v>46041</v>
      </c>
      <c r="B9" s="10" t="n">
        <v>46051</v>
      </c>
      <c r="C9" s="11" t="inlineStr">
        <is>
          <t>945-Ocon</t>
        </is>
      </c>
      <c r="D9" s="12" t="n">
        <v>0</v>
      </c>
      <c r="E9" s="12" t="n">
        <v>0</v>
      </c>
      <c r="F9" s="12" t="n">
        <v>53178</v>
      </c>
      <c r="G9" s="12" t="n">
        <v>0</v>
      </c>
      <c r="H9" s="12" t="n">
        <v>0</v>
      </c>
      <c r="I9" s="12" t="n">
        <v>0</v>
      </c>
      <c r="J9" s="12" t="n">
        <v>53178</v>
      </c>
    </row>
    <row r="10" ht="10.95" customHeight="1" s="9">
      <c r="A10" s="13" t="inlineStr">
        <is>
          <t>Total Central Copiers</t>
        </is>
      </c>
      <c r="B10" s="13" t="n"/>
      <c r="C10" s="13" t="n"/>
      <c r="D10" s="14">
        <f>D9</f>
        <v/>
      </c>
      <c r="E10" s="14">
        <f>E9</f>
        <v/>
      </c>
      <c r="F10" s="14">
        <f>F9</f>
        <v/>
      </c>
      <c r="G10" s="14">
        <f>G9</f>
        <v/>
      </c>
      <c r="H10" s="14">
        <f>H9</f>
        <v/>
      </c>
      <c r="I10" s="14">
        <f>I9</f>
        <v/>
      </c>
      <c r="J10" s="14">
        <f>J9</f>
        <v/>
      </c>
    </row>
    <row r="11" ht="13.35" customHeight="1" s="9"/>
    <row r="12" ht="12.1" customFormat="1" customHeight="1" s="5">
      <c r="A12" s="8" t="inlineStr">
        <is>
          <t>Hoyt Productions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0.95" customHeight="1" s="9">
      <c r="A13" s="10" t="n">
        <v>46081</v>
      </c>
      <c r="B13" s="10" t="n">
        <v>46091</v>
      </c>
      <c r="C13" s="11" t="inlineStr">
        <is>
          <t>08-4123</t>
        </is>
      </c>
      <c r="D13" s="12" t="n">
        <v>297687.5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297687.5</v>
      </c>
    </row>
    <row r="14" ht="10.95" customHeight="1" s="9">
      <c r="A14" s="13" t="inlineStr">
        <is>
          <t>Total Hoyt Productions</t>
        </is>
      </c>
      <c r="B14" s="13" t="n"/>
      <c r="C14" s="13" t="n"/>
      <c r="D14" s="14">
        <f>D13</f>
        <v/>
      </c>
      <c r="E14" s="14">
        <f>E13</f>
        <v/>
      </c>
      <c r="F14" s="14">
        <f>F13</f>
        <v/>
      </c>
      <c r="G14" s="14">
        <f>G13</f>
        <v/>
      </c>
      <c r="H14" s="14">
        <f>H13</f>
        <v/>
      </c>
      <c r="I14" s="14">
        <f>I13</f>
        <v/>
      </c>
      <c r="J14" s="14">
        <f>J13</f>
        <v/>
      </c>
    </row>
    <row r="15" ht="13.35" customHeight="1" s="9"/>
    <row r="16" ht="12.1" customFormat="1" customHeight="1" s="5">
      <c r="A16" s="8" t="inlineStr">
        <is>
          <t>MCO Cleaning Services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0.95" customHeight="1" s="9">
      <c r="A17" s="10" t="n">
        <v>46043</v>
      </c>
      <c r="B17" s="10" t="n">
        <v>46053</v>
      </c>
      <c r="C17" s="11" t="inlineStr">
        <is>
          <t>408</t>
        </is>
      </c>
      <c r="D17" s="12" t="n">
        <v>0</v>
      </c>
      <c r="E17" s="12" t="n">
        <v>0</v>
      </c>
      <c r="F17" s="12" t="n">
        <v>5954</v>
      </c>
      <c r="G17" s="12" t="n">
        <v>0</v>
      </c>
      <c r="H17" s="12" t="n">
        <v>0</v>
      </c>
      <c r="I17" s="12" t="n">
        <v>0</v>
      </c>
      <c r="J17" s="12" t="n">
        <v>5954</v>
      </c>
    </row>
    <row r="18" ht="10.95" customHeight="1" s="9">
      <c r="A18" s="13" t="inlineStr">
        <is>
          <t>Total MCO Cleaning Services</t>
        </is>
      </c>
      <c r="B18" s="13" t="n"/>
      <c r="C18" s="13" t="n"/>
      <c r="D18" s="14">
        <f>D17</f>
        <v/>
      </c>
      <c r="E18" s="14">
        <f>E17</f>
        <v/>
      </c>
      <c r="F18" s="14">
        <f>F17</f>
        <v/>
      </c>
      <c r="G18" s="14">
        <f>G17</f>
        <v/>
      </c>
      <c r="H18" s="14">
        <f>H17</f>
        <v/>
      </c>
      <c r="I18" s="14">
        <f>I17</f>
        <v/>
      </c>
      <c r="J18" s="14">
        <f>J17</f>
        <v/>
      </c>
    </row>
    <row r="19" ht="13.35" customHeight="1" s="9"/>
    <row r="20" ht="12.1" customFormat="1" customHeight="1" s="5">
      <c r="A20" s="8" t="inlineStr">
        <is>
          <t>PowerDirect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0.95" customHeight="1" s="9">
      <c r="A21" s="10" t="n">
        <v>46039</v>
      </c>
      <c r="B21" s="10" t="n">
        <v>46049</v>
      </c>
      <c r="C21" s="11" t="inlineStr">
        <is>
          <t>RPT445-1</t>
        </is>
      </c>
      <c r="D21" s="12" t="n">
        <v>0</v>
      </c>
      <c r="E21" s="12" t="n">
        <v>0</v>
      </c>
      <c r="F21" s="12" t="n">
        <v>6792.5</v>
      </c>
      <c r="G21" s="12" t="n">
        <v>0</v>
      </c>
      <c r="H21" s="12" t="n">
        <v>0</v>
      </c>
      <c r="I21" s="12" t="n">
        <v>0</v>
      </c>
      <c r="J21" s="12" t="n">
        <v>6792.5</v>
      </c>
    </row>
    <row r="22" ht="10.95" customHeight="1" s="9">
      <c r="A22" s="13" t="inlineStr">
        <is>
          <t>Total PowerDirect</t>
        </is>
      </c>
      <c r="B22" s="13" t="n"/>
      <c r="C22" s="13" t="n"/>
      <c r="D22" s="14">
        <f>D21</f>
        <v/>
      </c>
      <c r="E22" s="14">
        <f>E21</f>
        <v/>
      </c>
      <c r="F22" s="14">
        <f>F21</f>
        <v/>
      </c>
      <c r="G22" s="14">
        <f>G21</f>
        <v/>
      </c>
      <c r="H22" s="14">
        <f>H21</f>
        <v/>
      </c>
      <c r="I22" s="14">
        <f>I21</f>
        <v/>
      </c>
      <c r="J22" s="14">
        <f>J21</f>
        <v/>
      </c>
    </row>
    <row r="23" ht="13.35" customHeight="1" s="9"/>
    <row r="24" ht="12.1" customFormat="1" customHeight="1" s="5">
      <c r="A24" s="8" t="inlineStr">
        <is>
          <t>SMART Agency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0.95" customHeight="1" s="9">
      <c r="A25" s="10" t="n">
        <v>46058</v>
      </c>
      <c r="B25" s="10" t="n">
        <v>46068</v>
      </c>
      <c r="C25" s="11" t="inlineStr">
        <is>
          <t>SM0195</t>
        </is>
      </c>
      <c r="D25" s="12" t="n">
        <v>0</v>
      </c>
      <c r="E25" s="12" t="n">
        <v>100000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100000</v>
      </c>
    </row>
    <row r="26" ht="10.95" customHeight="1" s="9">
      <c r="A26" s="13" t="inlineStr">
        <is>
          <t>Total SMART Agency</t>
        </is>
      </c>
      <c r="B26" s="13" t="n"/>
      <c r="C26" s="13" t="n"/>
      <c r="D26" s="14">
        <f>D25</f>
        <v/>
      </c>
      <c r="E26" s="14">
        <f>E25</f>
        <v/>
      </c>
      <c r="F26" s="14">
        <f>F25</f>
        <v/>
      </c>
      <c r="G26" s="14">
        <f>G25</f>
        <v/>
      </c>
      <c r="H26" s="14">
        <f>H25</f>
        <v/>
      </c>
      <c r="I26" s="14">
        <f>I25</f>
        <v/>
      </c>
      <c r="J26" s="14">
        <f>J25</f>
        <v/>
      </c>
    </row>
    <row r="27" ht="13.35" customHeight="1" s="9"/>
    <row r="28" ht="12.1" customFormat="1" customHeight="1" s="5">
      <c r="A28" s="8" t="inlineStr">
        <is>
          <t>Swanston Security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0.95" customHeight="1" s="9">
      <c r="A29" s="10" t="n">
        <v>46036</v>
      </c>
      <c r="B29" s="10" t="n">
        <v>46043</v>
      </c>
      <c r="C29" s="11" t="inlineStr">
        <is>
          <t>RPT429-1</t>
        </is>
      </c>
      <c r="D29" s="12" t="n">
        <v>0</v>
      </c>
      <c r="E29" s="12" t="n">
        <v>0</v>
      </c>
      <c r="F29" s="12" t="n">
        <v>1705</v>
      </c>
      <c r="G29" s="12" t="n">
        <v>0</v>
      </c>
      <c r="H29" s="12" t="n">
        <v>0</v>
      </c>
      <c r="I29" s="12" t="n">
        <v>0</v>
      </c>
      <c r="J29" s="12" t="n">
        <v>1705</v>
      </c>
    </row>
    <row r="30" ht="10.95" customHeight="1" s="9">
      <c r="A30" s="13" t="inlineStr">
        <is>
          <t>Total Swanston Security</t>
        </is>
      </c>
      <c r="B30" s="13" t="n"/>
      <c r="C30" s="13" t="n"/>
      <c r="D30" s="14">
        <f>D29</f>
        <v/>
      </c>
      <c r="E30" s="14">
        <f>E29</f>
        <v/>
      </c>
      <c r="F30" s="14">
        <f>F29</f>
        <v/>
      </c>
      <c r="G30" s="14">
        <f>G29</f>
        <v/>
      </c>
      <c r="H30" s="14">
        <f>H29</f>
        <v/>
      </c>
      <c r="I30" s="14">
        <f>I29</f>
        <v/>
      </c>
      <c r="J30" s="14">
        <f>J29</f>
        <v/>
      </c>
    </row>
    <row r="31" ht="13.35" customHeight="1" s="9"/>
    <row r="32" ht="12.1" customFormat="1" customHeight="1" s="5">
      <c r="A32" s="8" t="inlineStr">
        <is>
          <t>Xero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10.95" customHeight="1" s="9">
      <c r="A33" s="10" t="n">
        <v>46051</v>
      </c>
      <c r="B33" s="10" t="n">
        <v>46051</v>
      </c>
      <c r="C33" s="11" t="inlineStr">
        <is>
          <t>RPT402-1</t>
        </is>
      </c>
      <c r="D33" s="12" t="n">
        <v>0</v>
      </c>
      <c r="E33" s="12" t="n">
        <v>0</v>
      </c>
      <c r="F33" s="12" t="n">
        <v>2817.5</v>
      </c>
      <c r="G33" s="12" t="n">
        <v>0</v>
      </c>
      <c r="H33" s="12" t="n">
        <v>0</v>
      </c>
      <c r="I33" s="12" t="n">
        <v>0</v>
      </c>
      <c r="J33" s="12" t="n">
        <v>2817.5</v>
      </c>
    </row>
    <row r="34" ht="10.95" customHeight="1" s="9">
      <c r="A34" s="13" t="inlineStr">
        <is>
          <t>Total Xero</t>
        </is>
      </c>
      <c r="B34" s="13" t="n"/>
      <c r="C34" s="13" t="n"/>
      <c r="D34" s="14">
        <f>D33</f>
        <v/>
      </c>
      <c r="E34" s="14">
        <f>E33</f>
        <v/>
      </c>
      <c r="F34" s="14">
        <f>F33</f>
        <v/>
      </c>
      <c r="G34" s="14">
        <f>G33</f>
        <v/>
      </c>
      <c r="H34" s="14">
        <f>H33</f>
        <v/>
      </c>
      <c r="I34" s="14">
        <f>I33</f>
        <v/>
      </c>
      <c r="J34" s="14">
        <f>J33</f>
        <v/>
      </c>
    </row>
    <row r="35" ht="13.35" customHeight="1" s="9"/>
    <row r="36" ht="10.95" customHeight="1" s="9">
      <c r="A36" s="15" t="inlineStr">
        <is>
          <t>Total</t>
        </is>
      </c>
      <c r="B36" s="15" t="n"/>
      <c r="C36" s="15" t="n"/>
      <c r="D36" s="16">
        <f>SUM(D10,D14,D18,D22,D26,D30,D34)</f>
        <v/>
      </c>
      <c r="E36" s="16">
        <f>SUM(E10,E14,E18,E22,E26,E30,E34)</f>
        <v/>
      </c>
      <c r="F36" s="16">
        <f>SUM(F10,F14,F18,F22,F26,F30,F34)</f>
        <v/>
      </c>
      <c r="G36" s="16">
        <f>SUM(G10,G14,G18,G22,G26,G30,G34)</f>
        <v/>
      </c>
      <c r="H36" s="16">
        <f>SUM(H10,H14,H18,H22,H26,H30,H34)</f>
        <v/>
      </c>
      <c r="I36" s="16">
        <f>SUM(I10,I14,I18,I22,I26,I30,I34)</f>
        <v/>
      </c>
      <c r="J36" s="16">
        <f>SUM(J10,J14,J18,J22,J26,J30,J34)</f>
        <v/>
      </c>
    </row>
    <row r="37" ht="13.35" customHeight="1" s="9"/>
    <row r="38" ht="10.95" customHeight="1" s="9">
      <c r="A38" s="15" t="inlineStr">
        <is>
          <t>Percentage of total</t>
        </is>
      </c>
      <c r="B38" s="15" t="n"/>
      <c r="C38" s="15" t="n"/>
      <c r="D38" s="17">
        <f>(SUM(D10,D14,D18,D22,D26,D30,D34) / SUM(D10:I10,D14:I14,D18:I18,D22:I22,D26:I26,D30:I30,D34:I34))</f>
        <v/>
      </c>
      <c r="E38" s="17">
        <f>(SUM(E10,E14,E18,E22,E26,E30,E34) / SUM(D10:I10,D14:I14,D18:I18,D22:I22,D26:I26,D30:I30,D34:I34))</f>
        <v/>
      </c>
      <c r="F38" s="17">
        <f>(SUM(F10,F14,F18,F22,F26,F30,F34) / SUM(D10:I10,D14:I14,D18:I18,D22:I22,D26:I26,D30:I30,D34:I34))</f>
        <v/>
      </c>
      <c r="G38" s="17">
        <f>(SUM(G10,G14,G18,G22,G26,G30,G34) / SUM(D10:I10,D14:I14,D18:I18,D22:I22,D26:I26,D30:I30,D34:I34))</f>
        <v/>
      </c>
      <c r="H38" s="17">
        <f>(SUM(H10,H14,H18,H22,H26,H30,H34) / SUM(D10:I10,D14:I14,D18:I18,D22:I22,D26:I26,D30:I30,D34:I34))</f>
        <v/>
      </c>
      <c r="I38" s="17">
        <f>(SUM(I10,I14,I18,I22,I26,I30,I34) / SUM(D10:I10,D14:I14,D18:I18,D22:I22,D26:I26,D30:I30,D34:I34))</f>
        <v/>
      </c>
      <c r="J38" s="17">
        <f>(SUM(J10,J14,J18,J22,J26,J30,J34) / SUM(J10,J14,J18,J22,J26,J30,J34))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