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Transaction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dd mmm yyyy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5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vertical="center"/>
    </xf>
    <xf numFmtId="164" fontId="6" fillId="0" borderId="3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6" fillId="2" borderId="2" applyAlignment="1" pivotButton="0" quotePrefix="0" xfId="0">
      <alignment vertical="center"/>
    </xf>
    <xf numFmtId="164" fontId="6" fillId="2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35.16015625" customWidth="1" style="9" min="1" max="1"/>
    <col width="31.66015625" customWidth="1" style="9" min="2" max="2"/>
    <col width="100" customWidth="1" style="9" min="3" max="3"/>
    <col width="16.33203125" customWidth="1" style="9" min="4" max="4"/>
    <col width="9" customWidth="1" style="9" min="5" max="6"/>
    <col width="19.33203125" customWidth="1" style="9" min="7" max="7"/>
    <col width="10.5" customWidth="1" style="9" min="8" max="8"/>
    <col width="9" customWidth="1" style="9" min="9" max="9"/>
  </cols>
  <sheetData>
    <row r="1" ht="16.7" customFormat="1" customHeight="1" s="1">
      <c r="A1" s="2" t="inlineStr">
        <is>
          <t>Account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4.4" customFormat="1" customHeight="1" s="3">
      <c r="A3" s="4" t="inlineStr">
        <is>
          <t>For the period 1 April 2025 to 28 February 2026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13.35" customHeight="1" s="9"/>
    <row r="5" ht="12.1" customFormat="1" customHeight="1" s="5">
      <c r="A5" s="6" t="inlineStr">
        <is>
          <t>Date</t>
        </is>
      </c>
      <c r="B5" s="6" t="inlineStr">
        <is>
          <t>Source</t>
        </is>
      </c>
      <c r="C5" s="6" t="inlineStr">
        <is>
          <t>Description</t>
        </is>
      </c>
      <c r="D5" s="6" t="inlineStr">
        <is>
          <t>Reference</t>
        </is>
      </c>
      <c r="E5" s="7" t="inlineStr">
        <is>
          <t>Debit</t>
        </is>
      </c>
      <c r="F5" s="7" t="inlineStr">
        <is>
          <t>Credit</t>
        </is>
      </c>
      <c r="G5" s="7" t="inlineStr">
        <is>
          <t>Running Balance</t>
        </is>
      </c>
      <c r="H5" s="7" t="inlineStr">
        <is>
          <t>Gross</t>
        </is>
      </c>
      <c r="I5" s="7" t="inlineStr">
        <is>
          <t>VAT</t>
        </is>
      </c>
    </row>
    <row r="6" ht="13.35" customHeight="1" s="9"/>
    <row r="7" ht="12.1" customFormat="1" customHeight="1" s="5">
      <c r="A7" s="8" t="inlineStr">
        <is>
          <t>Accounts Payable</t>
        </is>
      </c>
      <c r="B7" s="8" t="n"/>
      <c r="C7" s="8" t="n"/>
      <c r="D7" s="8" t="n"/>
      <c r="E7" s="8" t="n"/>
      <c r="F7" s="8" t="n"/>
      <c r="G7" s="8" t="n"/>
      <c r="H7" s="8" t="n"/>
      <c r="I7" s="8" t="n"/>
    </row>
    <row r="8" ht="10.95" customHeight="1" s="9">
      <c r="A8" s="10" t="inlineStr">
        <is>
          <t>Opening Balance</t>
        </is>
      </c>
      <c r="B8" s="10" t="n"/>
      <c r="C8" s="10" t="n"/>
      <c r="D8" s="10" t="n"/>
      <c r="E8" s="11" t="n">
        <v>0</v>
      </c>
      <c r="F8" s="11" t="n">
        <v>0</v>
      </c>
      <c r="G8" s="11">
        <f>(F8 - E8)</f>
        <v/>
      </c>
      <c r="H8" s="11" t="n">
        <v>0</v>
      </c>
      <c r="I8" s="11" t="n">
        <v>0</v>
      </c>
    </row>
    <row r="9" ht="10.95" customHeight="1" s="9">
      <c r="A9" s="12" t="n">
        <v>45763</v>
      </c>
      <c r="B9" s="13" t="inlineStr">
        <is>
          <t>Payable Invoice</t>
        </is>
      </c>
      <c r="C9" s="13" t="inlineStr">
        <is>
          <t>PowerDirect</t>
        </is>
      </c>
      <c r="D9" s="13" t="inlineStr">
        <is>
          <t>RPT445-1</t>
        </is>
      </c>
      <c r="E9" s="14" t="n">
        <v>0</v>
      </c>
      <c r="F9" s="14" t="n">
        <v>4850</v>
      </c>
      <c r="G9" s="14">
        <f>((G8 + F9) - E9)</f>
        <v/>
      </c>
      <c r="H9" s="14" t="n">
        <v>4850</v>
      </c>
      <c r="I9" s="14" t="n">
        <v>0</v>
      </c>
    </row>
    <row r="10" ht="10.95" customHeight="1" s="9">
      <c r="A10" s="15" t="n">
        <v>45773</v>
      </c>
      <c r="B10" s="16" t="inlineStr">
        <is>
          <t>Payable Payment</t>
        </is>
      </c>
      <c r="C10" s="16" t="inlineStr">
        <is>
          <t>Payment: PowerDirect</t>
        </is>
      </c>
      <c r="D10" s="16" t="inlineStr">
        <is>
          <t>RPT445-1</t>
        </is>
      </c>
      <c r="E10" s="17" t="n">
        <v>4850</v>
      </c>
      <c r="F10" s="17" t="n">
        <v>0</v>
      </c>
      <c r="G10" s="17">
        <f>((G9 + F10) - E10)</f>
        <v/>
      </c>
      <c r="H10" s="17" t="n">
        <v>-4850</v>
      </c>
      <c r="I10" s="17" t="n">
        <v>0</v>
      </c>
    </row>
    <row r="11" ht="10.95" customHeight="1" s="9">
      <c r="A11" s="15" t="n">
        <v>45794</v>
      </c>
      <c r="B11" s="16" t="inlineStr">
        <is>
          <t>Payable Invoice</t>
        </is>
      </c>
      <c r="C11" s="16" t="inlineStr">
        <is>
          <t>PowerDirect</t>
        </is>
      </c>
      <c r="D11" s="16" t="inlineStr">
        <is>
          <t>RPT445-1</t>
        </is>
      </c>
      <c r="E11" s="17" t="n">
        <v>0</v>
      </c>
      <c r="F11" s="17" t="n">
        <v>4600</v>
      </c>
      <c r="G11" s="17">
        <f>((G10 + F11) - E11)</f>
        <v/>
      </c>
      <c r="H11" s="17" t="n">
        <v>4600</v>
      </c>
      <c r="I11" s="17" t="n">
        <v>0</v>
      </c>
    </row>
    <row r="12" ht="10.95" customHeight="1" s="9">
      <c r="A12" s="15" t="n">
        <v>45804</v>
      </c>
      <c r="B12" s="16" t="inlineStr">
        <is>
          <t>Payable Payment</t>
        </is>
      </c>
      <c r="C12" s="16" t="inlineStr">
        <is>
          <t>Payment: PowerDirect</t>
        </is>
      </c>
      <c r="D12" s="16" t="inlineStr">
        <is>
          <t>RPT445-1</t>
        </is>
      </c>
      <c r="E12" s="17" t="n">
        <v>4600</v>
      </c>
      <c r="F12" s="17" t="n">
        <v>0</v>
      </c>
      <c r="G12" s="17">
        <f>((G11 + F12) - E12)</f>
        <v/>
      </c>
      <c r="H12" s="17" t="n">
        <v>-4600</v>
      </c>
      <c r="I12" s="17" t="n">
        <v>0</v>
      </c>
    </row>
    <row r="13" ht="10.95" customHeight="1" s="9">
      <c r="A13" s="15" t="n">
        <v>45824</v>
      </c>
      <c r="B13" s="16" t="inlineStr">
        <is>
          <t>Payable Invoice</t>
        </is>
      </c>
      <c r="C13" s="16" t="inlineStr">
        <is>
          <t>PowerDirect</t>
        </is>
      </c>
      <c r="D13" s="16" t="inlineStr">
        <is>
          <t>RPT445-1</t>
        </is>
      </c>
      <c r="E13" s="17" t="n">
        <v>0</v>
      </c>
      <c r="F13" s="17" t="n">
        <v>4450</v>
      </c>
      <c r="G13" s="17">
        <f>((G12 + F13) - E13)</f>
        <v/>
      </c>
      <c r="H13" s="17" t="n">
        <v>4450</v>
      </c>
      <c r="I13" s="17" t="n">
        <v>0</v>
      </c>
    </row>
    <row r="14" ht="10.95" customHeight="1" s="9">
      <c r="A14" s="15" t="n">
        <v>45834</v>
      </c>
      <c r="B14" s="16" t="inlineStr">
        <is>
          <t>Payable Payment</t>
        </is>
      </c>
      <c r="C14" s="16" t="inlineStr">
        <is>
          <t>Payment: PowerDirect</t>
        </is>
      </c>
      <c r="D14" s="16" t="inlineStr">
        <is>
          <t>RPT445-1</t>
        </is>
      </c>
      <c r="E14" s="17" t="n">
        <v>4450</v>
      </c>
      <c r="F14" s="17" t="n">
        <v>0</v>
      </c>
      <c r="G14" s="17">
        <f>((G13 + F14) - E14)</f>
        <v/>
      </c>
      <c r="H14" s="17" t="n">
        <v>-4450</v>
      </c>
      <c r="I14" s="17" t="n">
        <v>0</v>
      </c>
    </row>
    <row r="15" ht="10.95" customHeight="1" s="9">
      <c r="A15" s="15" t="n">
        <v>45855</v>
      </c>
      <c r="B15" s="16" t="inlineStr">
        <is>
          <t>Payable Invoice</t>
        </is>
      </c>
      <c r="C15" s="16" t="inlineStr">
        <is>
          <t>PowerDirect</t>
        </is>
      </c>
      <c r="D15" s="16" t="inlineStr">
        <is>
          <t>RPT445-1</t>
        </is>
      </c>
      <c r="E15" s="17" t="n">
        <v>0</v>
      </c>
      <c r="F15" s="17" t="n">
        <v>4550</v>
      </c>
      <c r="G15" s="17">
        <f>((G14 + F15) - E15)</f>
        <v/>
      </c>
      <c r="H15" s="17" t="n">
        <v>4550</v>
      </c>
      <c r="I15" s="17" t="n">
        <v>0</v>
      </c>
    </row>
    <row r="16" ht="10.95" customHeight="1" s="9">
      <c r="A16" s="15" t="n">
        <v>45865</v>
      </c>
      <c r="B16" s="16" t="inlineStr">
        <is>
          <t>Payable Payment</t>
        </is>
      </c>
      <c r="C16" s="16" t="inlineStr">
        <is>
          <t>Payment: PowerDirect</t>
        </is>
      </c>
      <c r="D16" s="16" t="inlineStr">
        <is>
          <t>RPT445-1</t>
        </is>
      </c>
      <c r="E16" s="17" t="n">
        <v>4550</v>
      </c>
      <c r="F16" s="17" t="n">
        <v>0</v>
      </c>
      <c r="G16" s="17">
        <f>((G15 + F16) - E16)</f>
        <v/>
      </c>
      <c r="H16" s="17" t="n">
        <v>-4550</v>
      </c>
      <c r="I16" s="17" t="n">
        <v>0</v>
      </c>
    </row>
    <row r="17" ht="10.95" customHeight="1" s="9">
      <c r="A17" s="15" t="n">
        <v>45886</v>
      </c>
      <c r="B17" s="16" t="inlineStr">
        <is>
          <t>Payable Invoice</t>
        </is>
      </c>
      <c r="C17" s="16" t="inlineStr">
        <is>
          <t>PowerDirect</t>
        </is>
      </c>
      <c r="D17" s="16" t="inlineStr">
        <is>
          <t>RPT445-1</t>
        </is>
      </c>
      <c r="E17" s="17" t="n">
        <v>0</v>
      </c>
      <c r="F17" s="17" t="n">
        <v>4812.5</v>
      </c>
      <c r="G17" s="17">
        <f>((G16 + F17) - E17)</f>
        <v/>
      </c>
      <c r="H17" s="17" t="n">
        <v>4812.5</v>
      </c>
      <c r="I17" s="17" t="n">
        <v>0</v>
      </c>
    </row>
    <row r="18" ht="10.95" customHeight="1" s="9">
      <c r="A18" s="15" t="n">
        <v>45896</v>
      </c>
      <c r="B18" s="16" t="inlineStr">
        <is>
          <t>Payable Payment</t>
        </is>
      </c>
      <c r="C18" s="16" t="inlineStr">
        <is>
          <t>Payment: PowerDirect</t>
        </is>
      </c>
      <c r="D18" s="16" t="inlineStr">
        <is>
          <t>RPT445-1</t>
        </is>
      </c>
      <c r="E18" s="17" t="n">
        <v>4812.5</v>
      </c>
      <c r="F18" s="17" t="n">
        <v>0</v>
      </c>
      <c r="G18" s="17">
        <f>((G17 + F18) - E18)</f>
        <v/>
      </c>
      <c r="H18" s="17" t="n">
        <v>-4812.5</v>
      </c>
      <c r="I18" s="17" t="n">
        <v>0</v>
      </c>
    </row>
    <row r="19" ht="10.95" customHeight="1" s="9">
      <c r="A19" s="15" t="n">
        <v>45916</v>
      </c>
      <c r="B19" s="16" t="inlineStr">
        <is>
          <t>Payable Invoice</t>
        </is>
      </c>
      <c r="C19" s="16" t="inlineStr">
        <is>
          <t>PowerDirect</t>
        </is>
      </c>
      <c r="D19" s="16" t="inlineStr">
        <is>
          <t>RPT445-1</t>
        </is>
      </c>
      <c r="E19" s="17" t="n">
        <v>0</v>
      </c>
      <c r="F19" s="17" t="n">
        <v>5030</v>
      </c>
      <c r="G19" s="17">
        <f>((G18 + F19) - E19)</f>
        <v/>
      </c>
      <c r="H19" s="17" t="n">
        <v>5030</v>
      </c>
      <c r="I19" s="17" t="n">
        <v>0</v>
      </c>
    </row>
    <row r="20" ht="10.95" customHeight="1" s="9">
      <c r="A20" s="15" t="n">
        <v>45926</v>
      </c>
      <c r="B20" s="16" t="inlineStr">
        <is>
          <t>Payable Payment</t>
        </is>
      </c>
      <c r="C20" s="16" t="inlineStr">
        <is>
          <t>Payment: PowerDirect</t>
        </is>
      </c>
      <c r="D20" s="16" t="inlineStr">
        <is>
          <t>RPT445-1</t>
        </is>
      </c>
      <c r="E20" s="17" t="n">
        <v>5030</v>
      </c>
      <c r="F20" s="17" t="n">
        <v>0</v>
      </c>
      <c r="G20" s="17">
        <f>((G19 + F20) - E20)</f>
        <v/>
      </c>
      <c r="H20" s="17" t="n">
        <v>-5030</v>
      </c>
      <c r="I20" s="17" t="n">
        <v>0</v>
      </c>
    </row>
    <row r="21" ht="10.95" customHeight="1" s="9">
      <c r="A21" s="15" t="n">
        <v>45947</v>
      </c>
      <c r="B21" s="16" t="inlineStr">
        <is>
          <t>Payable Invoice</t>
        </is>
      </c>
      <c r="C21" s="16" t="inlineStr">
        <is>
          <t>PowerDirect</t>
        </is>
      </c>
      <c r="D21" s="16" t="inlineStr">
        <is>
          <t>RPT445-1</t>
        </is>
      </c>
      <c r="E21" s="17" t="n">
        <v>0</v>
      </c>
      <c r="F21" s="17" t="n">
        <v>5287.5</v>
      </c>
      <c r="G21" s="17">
        <f>((G20 + F21) - E21)</f>
        <v/>
      </c>
      <c r="H21" s="17" t="n">
        <v>5287.5</v>
      </c>
      <c r="I21" s="17" t="n">
        <v>0</v>
      </c>
    </row>
    <row r="22" ht="10.95" customHeight="1" s="9">
      <c r="A22" s="15" t="n">
        <v>45957</v>
      </c>
      <c r="B22" s="16" t="inlineStr">
        <is>
          <t>Payable Payment</t>
        </is>
      </c>
      <c r="C22" s="16" t="inlineStr">
        <is>
          <t>Payment: PowerDirect</t>
        </is>
      </c>
      <c r="D22" s="16" t="inlineStr">
        <is>
          <t>RPT445-1</t>
        </is>
      </c>
      <c r="E22" s="17" t="n">
        <v>5287.5</v>
      </c>
      <c r="F22" s="17" t="n">
        <v>0</v>
      </c>
      <c r="G22" s="17">
        <f>((G21 + F22) - E22)</f>
        <v/>
      </c>
      <c r="H22" s="17" t="n">
        <v>-5287.5</v>
      </c>
      <c r="I22" s="17" t="n">
        <v>0</v>
      </c>
    </row>
    <row r="23" ht="10.95" customHeight="1" s="9">
      <c r="A23" s="15" t="n">
        <v>45977</v>
      </c>
      <c r="B23" s="16" t="inlineStr">
        <is>
          <t>Payable Invoice</t>
        </is>
      </c>
      <c r="C23" s="16" t="inlineStr">
        <is>
          <t>PowerDirect</t>
        </is>
      </c>
      <c r="D23" s="16" t="inlineStr">
        <is>
          <t>RPT445-1</t>
        </is>
      </c>
      <c r="E23" s="17" t="n">
        <v>0</v>
      </c>
      <c r="F23" s="17" t="n">
        <v>5325</v>
      </c>
      <c r="G23" s="17">
        <f>((G22 + F23) - E23)</f>
        <v/>
      </c>
      <c r="H23" s="17" t="n">
        <v>5325</v>
      </c>
      <c r="I23" s="17" t="n">
        <v>0</v>
      </c>
    </row>
    <row r="24" ht="10.95" customHeight="1" s="9">
      <c r="A24" s="15" t="n">
        <v>45987</v>
      </c>
      <c r="B24" s="16" t="inlineStr">
        <is>
          <t>Payable Payment</t>
        </is>
      </c>
      <c r="C24" s="16" t="inlineStr">
        <is>
          <t>Payment: PowerDirect</t>
        </is>
      </c>
      <c r="D24" s="16" t="inlineStr">
        <is>
          <t>RPT445-1</t>
        </is>
      </c>
      <c r="E24" s="17" t="n">
        <v>5325</v>
      </c>
      <c r="F24" s="17" t="n">
        <v>0</v>
      </c>
      <c r="G24" s="17">
        <f>((G23 + F24) - E24)</f>
        <v/>
      </c>
      <c r="H24" s="17" t="n">
        <v>-5325</v>
      </c>
      <c r="I24" s="17" t="n">
        <v>0</v>
      </c>
    </row>
    <row r="25" ht="10.95" customHeight="1" s="9">
      <c r="A25" s="15" t="n">
        <v>46006</v>
      </c>
      <c r="B25" s="16" t="inlineStr">
        <is>
          <t>Payable Invoice</t>
        </is>
      </c>
      <c r="C25" s="16" t="inlineStr">
        <is>
          <t>Truxton Property Management</t>
        </is>
      </c>
      <c r="D25" s="16" t="inlineStr">
        <is>
          <t>RPT469-1</t>
        </is>
      </c>
      <c r="E25" s="17" t="n">
        <v>0</v>
      </c>
      <c r="F25" s="17" t="n">
        <v>59062.5</v>
      </c>
      <c r="G25" s="17">
        <f>((G24 + F25) - E25)</f>
        <v/>
      </c>
      <c r="H25" s="17" t="n">
        <v>59062.5</v>
      </c>
      <c r="I25" s="17" t="n">
        <v>0</v>
      </c>
    </row>
    <row r="26" ht="10.95" customHeight="1" s="9">
      <c r="A26" s="15" t="n">
        <v>46008</v>
      </c>
      <c r="B26" s="16" t="inlineStr">
        <is>
          <t>Payable Invoice</t>
        </is>
      </c>
      <c r="C26" s="16" t="inlineStr">
        <is>
          <t>PowerDirect</t>
        </is>
      </c>
      <c r="D26" s="16" t="inlineStr">
        <is>
          <t>RPT445-1</t>
        </is>
      </c>
      <c r="E26" s="17" t="n">
        <v>0</v>
      </c>
      <c r="F26" s="17" t="n">
        <v>5954</v>
      </c>
      <c r="G26" s="17">
        <f>((G25 + F26) - E26)</f>
        <v/>
      </c>
      <c r="H26" s="17" t="n">
        <v>5954</v>
      </c>
      <c r="I26" s="17" t="n">
        <v>0</v>
      </c>
    </row>
    <row r="27" ht="10.95" customHeight="1" s="9">
      <c r="A27" s="15" t="n">
        <v>46010</v>
      </c>
      <c r="B27" s="16" t="inlineStr">
        <is>
          <t>Payable Invoice</t>
        </is>
      </c>
      <c r="C27" s="16" t="inlineStr">
        <is>
          <t>Net Connect</t>
        </is>
      </c>
      <c r="D27" s="16" t="inlineStr">
        <is>
          <t>RPT489-1</t>
        </is>
      </c>
      <c r="E27" s="17" t="n">
        <v>0</v>
      </c>
      <c r="F27" s="17" t="n">
        <v>2246</v>
      </c>
      <c r="G27" s="17">
        <f>((G26 + F27) - E27)</f>
        <v/>
      </c>
      <c r="H27" s="17" t="n">
        <v>2246</v>
      </c>
      <c r="I27" s="17" t="n">
        <v>0</v>
      </c>
    </row>
    <row r="28" ht="10.95" customHeight="1" s="9">
      <c r="A28" s="15" t="n">
        <v>46010</v>
      </c>
      <c r="B28" s="16" t="inlineStr">
        <is>
          <t>Payable Invoice</t>
        </is>
      </c>
      <c r="C28" s="16" t="inlineStr">
        <is>
          <t>PC Complete</t>
        </is>
      </c>
      <c r="D28" s="16" t="inlineStr">
        <is>
          <t>720-1</t>
        </is>
      </c>
      <c r="E28" s="17" t="n">
        <v>0</v>
      </c>
      <c r="F28" s="17" t="n">
        <v>95000</v>
      </c>
      <c r="G28" s="17">
        <f>((G27 + F28) - E28)</f>
        <v/>
      </c>
      <c r="H28" s="17" t="n">
        <v>95000</v>
      </c>
      <c r="I28" s="17" t="n">
        <v>0</v>
      </c>
    </row>
    <row r="29" ht="10.95" customHeight="1" s="9">
      <c r="A29" s="15" t="n">
        <v>46018</v>
      </c>
      <c r="B29" s="16" t="inlineStr">
        <is>
          <t>Payable Payment</t>
        </is>
      </c>
      <c r="C29" s="16" t="inlineStr">
        <is>
          <t>Payment: PowerDirect</t>
        </is>
      </c>
      <c r="D29" s="16" t="inlineStr">
        <is>
          <t>RPT445-1</t>
        </is>
      </c>
      <c r="E29" s="17" t="n">
        <v>5954</v>
      </c>
      <c r="F29" s="17" t="n">
        <v>0</v>
      </c>
      <c r="G29" s="17">
        <f>((G28 + F29) - E29)</f>
        <v/>
      </c>
      <c r="H29" s="17" t="n">
        <v>-5954</v>
      </c>
      <c r="I29" s="17" t="n">
        <v>0</v>
      </c>
    </row>
    <row r="30" ht="10.95" customHeight="1" s="9">
      <c r="A30" s="15" t="n">
        <v>46020</v>
      </c>
      <c r="B30" s="16" t="inlineStr">
        <is>
          <t>Payable Payment</t>
        </is>
      </c>
      <c r="C30" s="16" t="inlineStr">
        <is>
          <t>Payment: Xero</t>
        </is>
      </c>
      <c r="D30" s="16" t="inlineStr">
        <is>
          <t>RPT402-1</t>
        </is>
      </c>
      <c r="E30" s="17" t="n">
        <v>2817.5</v>
      </c>
      <c r="F30" s="17" t="n">
        <v>0</v>
      </c>
      <c r="G30" s="17">
        <f>((G29 + F30) - E30)</f>
        <v/>
      </c>
      <c r="H30" s="17" t="n">
        <v>-2817.5</v>
      </c>
      <c r="I30" s="17" t="n">
        <v>0</v>
      </c>
    </row>
    <row r="31" ht="10.95" customHeight="1" s="9">
      <c r="A31" s="15" t="n">
        <v>46020</v>
      </c>
      <c r="B31" s="16" t="inlineStr">
        <is>
          <t>Payable Invoice</t>
        </is>
      </c>
      <c r="C31" s="16" t="inlineStr">
        <is>
          <t>Xero</t>
        </is>
      </c>
      <c r="D31" s="16" t="inlineStr">
        <is>
          <t>RPT402-1</t>
        </is>
      </c>
      <c r="E31" s="17" t="n">
        <v>0</v>
      </c>
      <c r="F31" s="17" t="n">
        <v>2817.5</v>
      </c>
      <c r="G31" s="17">
        <f>((G30 + F31) - E31)</f>
        <v/>
      </c>
      <c r="H31" s="17" t="n">
        <v>2817.5</v>
      </c>
      <c r="I31" s="17" t="n">
        <v>0</v>
      </c>
    </row>
    <row r="32" ht="10.95" customHeight="1" s="9">
      <c r="A32" s="15" t="n">
        <v>46020</v>
      </c>
      <c r="B32" s="16" t="inlineStr">
        <is>
          <t>Payable Payment</t>
        </is>
      </c>
      <c r="C32" s="16" t="inlineStr">
        <is>
          <t>Payment: Net Connect</t>
        </is>
      </c>
      <c r="D32" s="16" t="inlineStr">
        <is>
          <t>RPT489-1</t>
        </is>
      </c>
      <c r="E32" s="17" t="n">
        <v>2246</v>
      </c>
      <c r="F32" s="17" t="n">
        <v>0</v>
      </c>
      <c r="G32" s="17">
        <f>((G31 + F32) - E32)</f>
        <v/>
      </c>
      <c r="H32" s="17" t="n">
        <v>-2246</v>
      </c>
      <c r="I32" s="17" t="n">
        <v>0</v>
      </c>
    </row>
    <row r="33" ht="10.95" customHeight="1" s="9">
      <c r="A33" s="15" t="n">
        <v>46020</v>
      </c>
      <c r="B33" s="16" t="inlineStr">
        <is>
          <t>Payable Payment</t>
        </is>
      </c>
      <c r="C33" s="16" t="inlineStr">
        <is>
          <t>Payment: Truxton Property Management</t>
        </is>
      </c>
      <c r="D33" s="16" t="inlineStr">
        <is>
          <t>RPT469-1</t>
        </is>
      </c>
      <c r="E33" s="17" t="n">
        <v>59062.5</v>
      </c>
      <c r="F33" s="17" t="n">
        <v>0</v>
      </c>
      <c r="G33" s="17">
        <f>((G32 + F33) - E33)</f>
        <v/>
      </c>
      <c r="H33" s="17" t="n">
        <v>-59062.5</v>
      </c>
      <c r="I33" s="17" t="n">
        <v>0</v>
      </c>
    </row>
    <row r="34" ht="10.95" customHeight="1" s="9">
      <c r="A34" s="15" t="n">
        <v>46020</v>
      </c>
      <c r="B34" s="16" t="inlineStr">
        <is>
          <t>Payable Payment</t>
        </is>
      </c>
      <c r="C34" s="16" t="inlineStr">
        <is>
          <t>Payment: PC Complete</t>
        </is>
      </c>
      <c r="D34" s="16" t="inlineStr">
        <is>
          <t>720-1</t>
        </is>
      </c>
      <c r="E34" s="17" t="n">
        <v>95000</v>
      </c>
      <c r="F34" s="17" t="n">
        <v>0</v>
      </c>
      <c r="G34" s="17">
        <f>((G33 + F34) - E34)</f>
        <v/>
      </c>
      <c r="H34" s="17" t="n">
        <v>-95000</v>
      </c>
      <c r="I34" s="17" t="n">
        <v>0</v>
      </c>
    </row>
    <row r="35" ht="10.95" customHeight="1" s="9">
      <c r="A35" s="15" t="n">
        <v>46036</v>
      </c>
      <c r="B35" s="16" t="inlineStr">
        <is>
          <t>Payable Invoice</t>
        </is>
      </c>
      <c r="C35" s="16" t="inlineStr">
        <is>
          <t>Swanston Security</t>
        </is>
      </c>
      <c r="D35" s="16" t="inlineStr">
        <is>
          <t>RPT429-1</t>
        </is>
      </c>
      <c r="E35" s="17" t="n">
        <v>0</v>
      </c>
      <c r="F35" s="17" t="n">
        <v>2977</v>
      </c>
      <c r="G35" s="17">
        <f>((G34 + F35) - E35)</f>
        <v/>
      </c>
      <c r="H35" s="17" t="n">
        <v>2977</v>
      </c>
      <c r="I35" s="17" t="n">
        <v>0</v>
      </c>
    </row>
    <row r="36" ht="10.95" customHeight="1" s="9">
      <c r="A36" s="15" t="n">
        <v>46037</v>
      </c>
      <c r="B36" s="16" t="inlineStr">
        <is>
          <t>Payable Invoice</t>
        </is>
      </c>
      <c r="C36" s="16" t="inlineStr">
        <is>
          <t>Truxton Property Management</t>
        </is>
      </c>
      <c r="D36" s="16" t="inlineStr">
        <is>
          <t>RPT469-1</t>
        </is>
      </c>
      <c r="E36" s="17" t="n">
        <v>0</v>
      </c>
      <c r="F36" s="17" t="n">
        <v>59062.5</v>
      </c>
      <c r="G36" s="17">
        <f>((G35 + F36) - E36)</f>
        <v/>
      </c>
      <c r="H36" s="17" t="n">
        <v>59062.5</v>
      </c>
      <c r="I36" s="17" t="n">
        <v>0</v>
      </c>
    </row>
    <row r="37" ht="10.95" customHeight="1" s="9">
      <c r="A37" s="15" t="n">
        <v>46039</v>
      </c>
      <c r="B37" s="16" t="inlineStr">
        <is>
          <t>Payable Invoice</t>
        </is>
      </c>
      <c r="C37" s="16" t="inlineStr">
        <is>
          <t>PowerDirect</t>
        </is>
      </c>
      <c r="D37" s="16" t="inlineStr">
        <is>
          <t>RPT445-1</t>
        </is>
      </c>
      <c r="E37" s="17" t="n">
        <v>0</v>
      </c>
      <c r="F37" s="17" t="n">
        <v>6792.5</v>
      </c>
      <c r="G37" s="17">
        <f>((G36 + F37) - E37)</f>
        <v/>
      </c>
      <c r="H37" s="17" t="n">
        <v>6792.5</v>
      </c>
      <c r="I37" s="17" t="n">
        <v>0</v>
      </c>
    </row>
    <row r="38" ht="10.95" customHeight="1" s="9">
      <c r="A38" s="15" t="n">
        <v>46039</v>
      </c>
      <c r="B38" s="16" t="inlineStr">
        <is>
          <t>Payable Credit Note Allocation</t>
        </is>
      </c>
      <c r="C38" s="16" t="inlineStr">
        <is>
          <t>Swanston Security</t>
        </is>
      </c>
      <c r="D38" s="16" t="inlineStr">
        <is>
          <t>RPT429-1</t>
        </is>
      </c>
      <c r="E38" s="17" t="n">
        <v>1272</v>
      </c>
      <c r="F38" s="17" t="n">
        <v>0</v>
      </c>
      <c r="G38" s="17">
        <f>((G37 + F38) - E38)</f>
        <v/>
      </c>
      <c r="H38" s="17" t="n">
        <v>-1272</v>
      </c>
      <c r="I38" s="17" t="n">
        <v>0</v>
      </c>
    </row>
    <row r="39" ht="10.95" customHeight="1" s="9">
      <c r="A39" s="15" t="n">
        <v>46039</v>
      </c>
      <c r="B39" s="16" t="inlineStr">
        <is>
          <t>Payable Credit Note Allocation</t>
        </is>
      </c>
      <c r="C39" s="16" t="inlineStr">
        <is>
          <t>Swanston Security</t>
        </is>
      </c>
      <c r="D39" s="16" t="inlineStr">
        <is>
          <t>RPT429-1</t>
        </is>
      </c>
      <c r="E39" s="17" t="n">
        <v>0</v>
      </c>
      <c r="F39" s="17" t="n">
        <v>1272</v>
      </c>
      <c r="G39" s="17">
        <f>((G38 + F39) - E39)</f>
        <v/>
      </c>
      <c r="H39" s="17" t="n">
        <v>1272</v>
      </c>
      <c r="I39" s="17" t="n">
        <v>0</v>
      </c>
    </row>
    <row r="40" ht="10.95" customHeight="1" s="9">
      <c r="A40" s="15" t="n">
        <v>46039</v>
      </c>
      <c r="B40" s="16" t="inlineStr">
        <is>
          <t>Payable Credit Note</t>
        </is>
      </c>
      <c r="C40" s="16" t="inlineStr">
        <is>
          <t>Swanston Security</t>
        </is>
      </c>
      <c r="D40" s="16" t="inlineStr">
        <is>
          <t>RPT429-1</t>
        </is>
      </c>
      <c r="E40" s="17" t="n">
        <v>1272</v>
      </c>
      <c r="F40" s="17" t="n">
        <v>0</v>
      </c>
      <c r="G40" s="17">
        <f>((G39 + F40) - E40)</f>
        <v/>
      </c>
      <c r="H40" s="17" t="n">
        <v>-1272</v>
      </c>
      <c r="I40" s="17" t="n">
        <v>0</v>
      </c>
    </row>
    <row r="41" ht="10.95" customHeight="1" s="9">
      <c r="A41" s="15" t="n">
        <v>46040</v>
      </c>
      <c r="B41" s="16" t="inlineStr">
        <is>
          <t>Payable Invoice</t>
        </is>
      </c>
      <c r="C41" s="16" t="inlineStr">
        <is>
          <t>PC Complete</t>
        </is>
      </c>
      <c r="D41" s="16" t="inlineStr">
        <is>
          <t>720-2</t>
        </is>
      </c>
      <c r="E41" s="17" t="n">
        <v>0</v>
      </c>
      <c r="F41" s="17" t="n">
        <v>86712</v>
      </c>
      <c r="G41" s="17">
        <f>((G40 + F41) - E41)</f>
        <v/>
      </c>
      <c r="H41" s="17" t="n">
        <v>86712</v>
      </c>
      <c r="I41" s="17" t="n">
        <v>0</v>
      </c>
    </row>
    <row r="42" ht="10.95" customHeight="1" s="9">
      <c r="A42" s="15" t="n">
        <v>46041</v>
      </c>
      <c r="B42" s="16" t="inlineStr">
        <is>
          <t>Payable Invoice</t>
        </is>
      </c>
      <c r="C42" s="16" t="inlineStr">
        <is>
          <t>Central Copiers</t>
        </is>
      </c>
      <c r="D42" s="16" t="inlineStr">
        <is>
          <t>945-Ocon</t>
        </is>
      </c>
      <c r="E42" s="17" t="n">
        <v>0</v>
      </c>
      <c r="F42" s="17" t="n">
        <v>53178</v>
      </c>
      <c r="G42" s="17">
        <f>((G41 + F42) - E42)</f>
        <v/>
      </c>
      <c r="H42" s="17" t="n">
        <v>53178</v>
      </c>
      <c r="I42" s="17" t="n">
        <v>0</v>
      </c>
    </row>
    <row r="43" ht="10.95" customHeight="1" s="9">
      <c r="A43" s="15" t="n">
        <v>46041</v>
      </c>
      <c r="B43" s="16" t="inlineStr">
        <is>
          <t>Payable Invoice</t>
        </is>
      </c>
      <c r="C43" s="16" t="inlineStr">
        <is>
          <t>Net Connect</t>
        </is>
      </c>
      <c r="D43" s="16" t="inlineStr">
        <is>
          <t>RPT489-1</t>
        </is>
      </c>
      <c r="E43" s="17" t="n">
        <v>0</v>
      </c>
      <c r="F43" s="17" t="n">
        <v>2341</v>
      </c>
      <c r="G43" s="17">
        <f>((G42 + F43) - E43)</f>
        <v/>
      </c>
      <c r="H43" s="17" t="n">
        <v>2341</v>
      </c>
      <c r="I43" s="17" t="n">
        <v>0</v>
      </c>
    </row>
    <row r="44" ht="10.95" customHeight="1" s="9">
      <c r="A44" s="15" t="n">
        <v>46043</v>
      </c>
      <c r="B44" s="16" t="inlineStr">
        <is>
          <t>Payable Invoice</t>
        </is>
      </c>
      <c r="C44" s="16" t="inlineStr">
        <is>
          <t>MCO Cleaning Services</t>
        </is>
      </c>
      <c r="D44" s="16" t="inlineStr">
        <is>
          <t>408</t>
        </is>
      </c>
      <c r="E44" s="17" t="n">
        <v>0</v>
      </c>
      <c r="F44" s="17" t="n">
        <v>5954</v>
      </c>
      <c r="G44" s="17">
        <f>((G43 + F44) - E44)</f>
        <v/>
      </c>
      <c r="H44" s="17" t="n">
        <v>5954</v>
      </c>
      <c r="I44" s="17" t="n">
        <v>0</v>
      </c>
    </row>
    <row r="45" ht="10.95" customHeight="1" s="9">
      <c r="A45" s="15" t="n">
        <v>46043</v>
      </c>
      <c r="B45" s="16" t="inlineStr">
        <is>
          <t>Payable Credit Note Allocation</t>
        </is>
      </c>
      <c r="C45" s="16" t="inlineStr">
        <is>
          <t>PC Complete</t>
        </is>
      </c>
      <c r="D45" s="16" t="inlineStr">
        <is>
          <t>720-2</t>
        </is>
      </c>
      <c r="E45" s="17" t="n">
        <v>0</v>
      </c>
      <c r="F45" s="17" t="n">
        <v>13518</v>
      </c>
      <c r="G45" s="17">
        <f>((G44 + F45) - E45)</f>
        <v/>
      </c>
      <c r="H45" s="17" t="n">
        <v>13518</v>
      </c>
      <c r="I45" s="17" t="n">
        <v>0</v>
      </c>
    </row>
    <row r="46" ht="10.95" customHeight="1" s="9">
      <c r="A46" s="15" t="n">
        <v>46043</v>
      </c>
      <c r="B46" s="16" t="inlineStr">
        <is>
          <t>Payable Credit Note</t>
        </is>
      </c>
      <c r="C46" s="16" t="inlineStr">
        <is>
          <t>PC Complete</t>
        </is>
      </c>
      <c r="D46" s="16" t="inlineStr">
        <is>
          <t>720-2</t>
        </is>
      </c>
      <c r="E46" s="17" t="n">
        <v>13518</v>
      </c>
      <c r="F46" s="17" t="n">
        <v>0</v>
      </c>
      <c r="G46" s="17">
        <f>((G45 + F46) - E46)</f>
        <v/>
      </c>
      <c r="H46" s="17" t="n">
        <v>-13518</v>
      </c>
      <c r="I46" s="17" t="n">
        <v>0</v>
      </c>
    </row>
    <row r="47" ht="10.95" customHeight="1" s="9">
      <c r="A47" s="15" t="n">
        <v>46043</v>
      </c>
      <c r="B47" s="16" t="inlineStr">
        <is>
          <t>Payable Credit Note Allocation</t>
        </is>
      </c>
      <c r="C47" s="16" t="inlineStr">
        <is>
          <t>PC Complete</t>
        </is>
      </c>
      <c r="D47" s="16" t="inlineStr">
        <is>
          <t>720-2</t>
        </is>
      </c>
      <c r="E47" s="17" t="n">
        <v>13518</v>
      </c>
      <c r="F47" s="17" t="n">
        <v>0</v>
      </c>
      <c r="G47" s="17">
        <f>((G46 + F47) - E47)</f>
        <v/>
      </c>
      <c r="H47" s="17" t="n">
        <v>-13518</v>
      </c>
      <c r="I47" s="17" t="n">
        <v>0</v>
      </c>
    </row>
    <row r="48" ht="10.95" customHeight="1" s="9">
      <c r="A48" s="15" t="n">
        <v>46050</v>
      </c>
      <c r="B48" s="16" t="inlineStr">
        <is>
          <t>Payable Payment</t>
        </is>
      </c>
      <c r="C48" s="16" t="inlineStr">
        <is>
          <t>Payment: PC Complete</t>
        </is>
      </c>
      <c r="D48" s="16" t="inlineStr">
        <is>
          <t>720-2</t>
        </is>
      </c>
      <c r="E48" s="17" t="n">
        <v>73194</v>
      </c>
      <c r="F48" s="17" t="n">
        <v>0</v>
      </c>
      <c r="G48" s="17">
        <f>((G47 + F48) - E48)</f>
        <v/>
      </c>
      <c r="H48" s="17" t="n">
        <v>-73194</v>
      </c>
      <c r="I48" s="17" t="n">
        <v>0</v>
      </c>
    </row>
    <row r="49" ht="10.95" customHeight="1" s="9">
      <c r="A49" s="15" t="n">
        <v>46050</v>
      </c>
      <c r="B49" s="16" t="inlineStr">
        <is>
          <t>Payable Payment</t>
        </is>
      </c>
      <c r="C49" s="16" t="inlineStr">
        <is>
          <t>Payment: Truxton Property Management</t>
        </is>
      </c>
      <c r="D49" s="16" t="inlineStr">
        <is>
          <t>RPT469-1</t>
        </is>
      </c>
      <c r="E49" s="17" t="n">
        <v>59062.5</v>
      </c>
      <c r="F49" s="17" t="n">
        <v>0</v>
      </c>
      <c r="G49" s="17">
        <f>((G48 + F49) - E49)</f>
        <v/>
      </c>
      <c r="H49" s="17" t="n">
        <v>-59062.5</v>
      </c>
      <c r="I49" s="17" t="n">
        <v>0</v>
      </c>
    </row>
    <row r="50" ht="10.95" customHeight="1" s="9">
      <c r="A50" s="15" t="n">
        <v>46051</v>
      </c>
      <c r="B50" s="16" t="inlineStr">
        <is>
          <t>Payable Invoice</t>
        </is>
      </c>
      <c r="C50" s="16" t="inlineStr">
        <is>
          <t>Xero</t>
        </is>
      </c>
      <c r="D50" s="16" t="inlineStr">
        <is>
          <t>RPT402-1</t>
        </is>
      </c>
      <c r="E50" s="17" t="n">
        <v>0</v>
      </c>
      <c r="F50" s="17" t="n">
        <v>2817.5</v>
      </c>
      <c r="G50" s="17">
        <f>((G49 + F50) - E50)</f>
        <v/>
      </c>
      <c r="H50" s="17" t="n">
        <v>2817.5</v>
      </c>
      <c r="I50" s="17" t="n">
        <v>0</v>
      </c>
    </row>
    <row r="51" ht="10.95" customHeight="1" s="9">
      <c r="A51" s="15" t="n">
        <v>46058</v>
      </c>
      <c r="B51" s="16" t="inlineStr">
        <is>
          <t>Payable Invoice</t>
        </is>
      </c>
      <c r="C51" s="16" t="inlineStr">
        <is>
          <t>SMART Agency</t>
        </is>
      </c>
      <c r="D51" s="16" t="inlineStr">
        <is>
          <t>SM0195</t>
        </is>
      </c>
      <c r="E51" s="17" t="n">
        <v>0</v>
      </c>
      <c r="F51" s="17" t="n">
        <v>100000</v>
      </c>
      <c r="G51" s="17">
        <f>((G50 + F51) - E51)</f>
        <v/>
      </c>
      <c r="H51" s="17" t="n">
        <v>100000</v>
      </c>
      <c r="I51" s="17" t="n">
        <v>0</v>
      </c>
    </row>
    <row r="52" ht="10.95" customHeight="1" s="9">
      <c r="A52" s="15" t="n">
        <v>46064</v>
      </c>
      <c r="B52" s="16" t="inlineStr">
        <is>
          <t>Payable Invoice</t>
        </is>
      </c>
      <c r="C52" s="16" t="inlineStr">
        <is>
          <t>Swanston Security</t>
        </is>
      </c>
      <c r="D52" s="16" t="inlineStr">
        <is>
          <t>RPT429-1</t>
        </is>
      </c>
      <c r="E52" s="17" t="n">
        <v>0</v>
      </c>
      <c r="F52" s="17" t="n">
        <v>2977</v>
      </c>
      <c r="G52" s="17">
        <f>((G51 + F52) - E52)</f>
        <v/>
      </c>
      <c r="H52" s="17" t="n">
        <v>2977</v>
      </c>
      <c r="I52" s="17" t="n">
        <v>0</v>
      </c>
    </row>
    <row r="53" ht="10.95" customHeight="1" s="9">
      <c r="A53" s="15" t="n">
        <v>46065</v>
      </c>
      <c r="B53" s="16" t="inlineStr">
        <is>
          <t>Payable Invoice</t>
        </is>
      </c>
      <c r="C53" s="16" t="inlineStr">
        <is>
          <t>Truxton Property Management</t>
        </is>
      </c>
      <c r="D53" s="16" t="inlineStr">
        <is>
          <t>RPT469-1</t>
        </is>
      </c>
      <c r="E53" s="17" t="n">
        <v>0</v>
      </c>
      <c r="F53" s="17" t="n">
        <v>59062.5</v>
      </c>
      <c r="G53" s="17">
        <f>((G52 + F53) - E53)</f>
        <v/>
      </c>
      <c r="H53" s="17" t="n">
        <v>59062.5</v>
      </c>
      <c r="I53" s="17" t="n">
        <v>0</v>
      </c>
    </row>
    <row r="54" ht="10.95" customHeight="1" s="9">
      <c r="A54" s="15" t="n">
        <v>46067</v>
      </c>
      <c r="B54" s="16" t="inlineStr">
        <is>
          <t>Payable Invoice</t>
        </is>
      </c>
      <c r="C54" s="16" t="inlineStr">
        <is>
          <t>PowerDirect</t>
        </is>
      </c>
      <c r="D54" s="16" t="inlineStr">
        <is>
          <t>RPT445-1</t>
        </is>
      </c>
      <c r="E54" s="17" t="n">
        <v>0</v>
      </c>
      <c r="F54" s="17" t="n">
        <v>5430</v>
      </c>
      <c r="G54" s="17">
        <f>((G53 + F54) - E54)</f>
        <v/>
      </c>
      <c r="H54" s="17" t="n">
        <v>5430</v>
      </c>
      <c r="I54" s="17" t="n">
        <v>0</v>
      </c>
    </row>
    <row r="55" ht="10.95" customHeight="1" s="9">
      <c r="A55" s="15" t="n">
        <v>46069</v>
      </c>
      <c r="B55" s="16" t="inlineStr">
        <is>
          <t>Payable Invoice</t>
        </is>
      </c>
      <c r="C55" s="16" t="inlineStr">
        <is>
          <t>Net Connect</t>
        </is>
      </c>
      <c r="D55" s="16" t="inlineStr">
        <is>
          <t>RPT489-1</t>
        </is>
      </c>
      <c r="E55" s="17" t="n">
        <v>0</v>
      </c>
      <c r="F55" s="17" t="n">
        <v>2575</v>
      </c>
      <c r="G55" s="17">
        <f>((G54 + F55) - E55)</f>
        <v/>
      </c>
      <c r="H55" s="17" t="n">
        <v>2575</v>
      </c>
      <c r="I55" s="17" t="n">
        <v>0</v>
      </c>
    </row>
    <row r="56" ht="10.95" customHeight="1" s="9">
      <c r="A56" s="15" t="n">
        <v>46077</v>
      </c>
      <c r="B56" s="16" t="inlineStr">
        <is>
          <t>Payable Payment</t>
        </is>
      </c>
      <c r="C56" s="16" t="inlineStr">
        <is>
          <t>Payment: PowerDirect</t>
        </is>
      </c>
      <c r="D56" s="16" t="inlineStr">
        <is>
          <t>RPT445-1</t>
        </is>
      </c>
      <c r="E56" s="17" t="n">
        <v>5430</v>
      </c>
      <c r="F56" s="17" t="n">
        <v>0</v>
      </c>
      <c r="G56" s="17">
        <f>((G55 + F56) - E56)</f>
        <v/>
      </c>
      <c r="H56" s="17" t="n">
        <v>-5430</v>
      </c>
      <c r="I56" s="17" t="n">
        <v>0</v>
      </c>
    </row>
    <row r="57" ht="10.95" customHeight="1" s="9">
      <c r="A57" s="15" t="n">
        <v>46077</v>
      </c>
      <c r="B57" s="16" t="inlineStr">
        <is>
          <t>Payable Payment</t>
        </is>
      </c>
      <c r="C57" s="16" t="inlineStr">
        <is>
          <t>Payment: Net Connect</t>
        </is>
      </c>
      <c r="D57" s="16" t="inlineStr">
        <is>
          <t>RPT489-1</t>
        </is>
      </c>
      <c r="E57" s="17" t="n">
        <v>2575</v>
      </c>
      <c r="F57" s="17" t="n">
        <v>0</v>
      </c>
      <c r="G57" s="17">
        <f>((G56 + F57) - E57)</f>
        <v/>
      </c>
      <c r="H57" s="17" t="n">
        <v>-2575</v>
      </c>
      <c r="I57" s="17" t="n">
        <v>0</v>
      </c>
    </row>
    <row r="58" ht="10.95" customHeight="1" s="9">
      <c r="A58" s="15" t="n">
        <v>46077</v>
      </c>
      <c r="B58" s="16" t="inlineStr">
        <is>
          <t>Payable Payment</t>
        </is>
      </c>
      <c r="C58" s="16" t="inlineStr">
        <is>
          <t>Payment: Net Connect</t>
        </is>
      </c>
      <c r="D58" s="16" t="inlineStr">
        <is>
          <t>RPT489-1</t>
        </is>
      </c>
      <c r="E58" s="17" t="n">
        <v>2341</v>
      </c>
      <c r="F58" s="17" t="n">
        <v>0</v>
      </c>
      <c r="G58" s="17">
        <f>((G57 + F58) - E58)</f>
        <v/>
      </c>
      <c r="H58" s="17" t="n">
        <v>-2341</v>
      </c>
      <c r="I58" s="17" t="n">
        <v>0</v>
      </c>
    </row>
    <row r="59" ht="10.95" customHeight="1" s="9">
      <c r="A59" s="15" t="n">
        <v>46078</v>
      </c>
      <c r="B59" s="16" t="inlineStr">
        <is>
          <t>Payable Payment</t>
        </is>
      </c>
      <c r="C59" s="16" t="inlineStr">
        <is>
          <t>Payment: Truxton Property Management</t>
        </is>
      </c>
      <c r="D59" s="16" t="inlineStr">
        <is>
          <t>RPT469-1</t>
        </is>
      </c>
      <c r="E59" s="17" t="n">
        <v>59062.5</v>
      </c>
      <c r="F59" s="17" t="n">
        <v>0</v>
      </c>
      <c r="G59" s="17">
        <f>((G58 + F59) - E59)</f>
        <v/>
      </c>
      <c r="H59" s="17" t="n">
        <v>-59062.5</v>
      </c>
      <c r="I59" s="17" t="n">
        <v>0</v>
      </c>
    </row>
    <row r="60" ht="10.95" customHeight="1" s="9">
      <c r="A60" s="15" t="n">
        <v>46078</v>
      </c>
      <c r="B60" s="16" t="inlineStr">
        <is>
          <t>Payable Payment</t>
        </is>
      </c>
      <c r="C60" s="16" t="inlineStr">
        <is>
          <t>Payment: Swanston Security</t>
        </is>
      </c>
      <c r="D60" s="16" t="inlineStr">
        <is>
          <t>RPT429-1</t>
        </is>
      </c>
      <c r="E60" s="17" t="n">
        <v>2977</v>
      </c>
      <c r="F60" s="17" t="n">
        <v>0</v>
      </c>
      <c r="G60" s="17">
        <f>((G59 + F60) - E60)</f>
        <v/>
      </c>
      <c r="H60" s="17" t="n">
        <v>-2977</v>
      </c>
      <c r="I60" s="17" t="n">
        <v>0</v>
      </c>
    </row>
    <row r="61" ht="10.95" customHeight="1" s="9">
      <c r="A61" s="15" t="n">
        <v>46079</v>
      </c>
      <c r="B61" s="16" t="inlineStr">
        <is>
          <t>Payable Payment</t>
        </is>
      </c>
      <c r="C61" s="16" t="inlineStr">
        <is>
          <t>Payment: Xero</t>
        </is>
      </c>
      <c r="D61" s="16" t="inlineStr">
        <is>
          <t>RPT402-1</t>
        </is>
      </c>
      <c r="E61" s="17" t="n">
        <v>2817.5</v>
      </c>
      <c r="F61" s="17" t="n">
        <v>0</v>
      </c>
      <c r="G61" s="17">
        <f>((G60 + F61) - E61)</f>
        <v/>
      </c>
      <c r="H61" s="17" t="n">
        <v>-2817.5</v>
      </c>
      <c r="I61" s="17" t="n">
        <v>0</v>
      </c>
    </row>
    <row r="62" ht="10.95" customHeight="1" s="9">
      <c r="A62" s="15" t="n">
        <v>46079</v>
      </c>
      <c r="B62" s="16" t="inlineStr">
        <is>
          <t>Payable Invoice</t>
        </is>
      </c>
      <c r="C62" s="16" t="inlineStr">
        <is>
          <t>Xero</t>
        </is>
      </c>
      <c r="D62" s="16" t="inlineStr">
        <is>
          <t>RPT402-1</t>
        </is>
      </c>
      <c r="E62" s="17" t="n">
        <v>0</v>
      </c>
      <c r="F62" s="17" t="n">
        <v>2817.5</v>
      </c>
      <c r="G62" s="17">
        <f>((G61 + F62) - E62)</f>
        <v/>
      </c>
      <c r="H62" s="17" t="n">
        <v>2817.5</v>
      </c>
      <c r="I62" s="17" t="n">
        <v>0</v>
      </c>
    </row>
    <row r="63" ht="10.95" customHeight="1" s="9">
      <c r="A63" s="15" t="n">
        <v>46081</v>
      </c>
      <c r="B63" s="16" t="inlineStr">
        <is>
          <t>Payable Invoice</t>
        </is>
      </c>
      <c r="C63" s="16" t="inlineStr">
        <is>
          <t>Hoyt Productions</t>
        </is>
      </c>
      <c r="D63" s="16" t="inlineStr">
        <is>
          <t>08-4123</t>
        </is>
      </c>
      <c r="E63" s="17" t="n">
        <v>0</v>
      </c>
      <c r="F63" s="17" t="n">
        <v>297687.5</v>
      </c>
      <c r="G63" s="17">
        <f>((G62 + F63) - E63)</f>
        <v/>
      </c>
      <c r="H63" s="17" t="n">
        <v>297687.5</v>
      </c>
      <c r="I63" s="17" t="n">
        <v>0</v>
      </c>
    </row>
    <row r="64" ht="10.95" customHeight="1" s="9">
      <c r="A64" s="18" t="inlineStr">
        <is>
          <t>Total Accounts Payable</t>
        </is>
      </c>
      <c r="B64" s="18" t="n"/>
      <c r="C64" s="18" t="n"/>
      <c r="D64" s="18" t="n"/>
      <c r="E64" s="19">
        <f>SUM(E9:E63)</f>
        <v/>
      </c>
      <c r="F64" s="19">
        <f>SUM(F9:F63)</f>
        <v/>
      </c>
      <c r="G64" s="19">
        <f>G63</f>
        <v/>
      </c>
      <c r="H64" s="19">
        <f>SUM(H9:H63)</f>
        <v/>
      </c>
      <c r="I64" s="19">
        <f>SUM(I9:I63)</f>
        <v/>
      </c>
    </row>
    <row r="65" ht="10.95" customHeight="1" s="9">
      <c r="A65" s="10" t="inlineStr">
        <is>
          <t>Closing Balance</t>
        </is>
      </c>
      <c r="B65" s="10" t="n"/>
      <c r="C65" s="10" t="n"/>
      <c r="D65" s="10" t="n"/>
      <c r="E65" s="11" t="n">
        <v>0</v>
      </c>
      <c r="F65" s="11" t="n">
        <v>468134.5</v>
      </c>
      <c r="G65" s="11">
        <f>G63</f>
        <v/>
      </c>
      <c r="H65" s="11" t="n">
        <v>0</v>
      </c>
      <c r="I65" s="11" t="n">
        <v>0</v>
      </c>
    </row>
    <row r="66" ht="13.35" customHeight="1" s="9"/>
    <row r="67" ht="12.1" customFormat="1" customHeight="1" s="5">
      <c r="A67" s="8" t="inlineStr">
        <is>
          <t>Accounts Receivable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</row>
    <row r="68" ht="10.95" customHeight="1" s="9">
      <c r="A68" s="10" t="inlineStr">
        <is>
          <t>Opening Balance</t>
        </is>
      </c>
      <c r="B68" s="10" t="n"/>
      <c r="C68" s="10" t="n"/>
      <c r="D68" s="10" t="n"/>
      <c r="E68" s="11" t="n">
        <v>0</v>
      </c>
      <c r="F68" s="11" t="n">
        <v>0</v>
      </c>
      <c r="G68" s="11">
        <f>(E68 - F68)</f>
        <v/>
      </c>
      <c r="H68" s="11" t="n">
        <v>0</v>
      </c>
      <c r="I68" s="11" t="n">
        <v>0</v>
      </c>
    </row>
    <row r="69" ht="10.95" customHeight="1" s="9">
      <c r="A69" s="12" t="n">
        <v>45761</v>
      </c>
      <c r="B69" s="13" t="inlineStr">
        <is>
          <t>Receivable Invoice</t>
        </is>
      </c>
      <c r="C69" s="13" t="inlineStr">
        <is>
          <t>Ridgeway University</t>
        </is>
      </c>
      <c r="D69" s="13" t="inlineStr">
        <is>
          <t>RPT200-1</t>
        </is>
      </c>
      <c r="E69" s="14" t="n">
        <v>25000</v>
      </c>
      <c r="F69" s="14" t="n">
        <v>0</v>
      </c>
      <c r="G69" s="14">
        <f>((G68 + E69) - F69)</f>
        <v/>
      </c>
      <c r="H69" s="14" t="n">
        <v>25000</v>
      </c>
      <c r="I69" s="14" t="n">
        <v>0</v>
      </c>
    </row>
    <row r="70" ht="10.95" customHeight="1" s="9">
      <c r="A70" s="15" t="n">
        <v>45771</v>
      </c>
      <c r="B70" s="16" t="inlineStr">
        <is>
          <t>Receivable Payment</t>
        </is>
      </c>
      <c r="C70" s="16" t="inlineStr">
        <is>
          <t>Payment: Ridgeway University</t>
        </is>
      </c>
      <c r="D70" s="16" t="inlineStr">
        <is>
          <t>RPT200-1</t>
        </is>
      </c>
      <c r="E70" s="17" t="n">
        <v>0</v>
      </c>
      <c r="F70" s="17" t="n">
        <v>25000</v>
      </c>
      <c r="G70" s="17">
        <f>((G69 + E70) - F70)</f>
        <v/>
      </c>
      <c r="H70" s="17" t="n">
        <v>-25000</v>
      </c>
      <c r="I70" s="17" t="n">
        <v>0</v>
      </c>
    </row>
    <row r="71" ht="10.95" customHeight="1" s="9">
      <c r="A71" s="15" t="n">
        <v>45792</v>
      </c>
      <c r="B71" s="16" t="inlineStr">
        <is>
          <t>Receivable Invoice</t>
        </is>
      </c>
      <c r="C71" s="16" t="inlineStr">
        <is>
          <t>Ridgeway University</t>
        </is>
      </c>
      <c r="D71" s="16" t="inlineStr">
        <is>
          <t>RPT200-1</t>
        </is>
      </c>
      <c r="E71" s="17" t="n">
        <v>25000</v>
      </c>
      <c r="F71" s="17" t="n">
        <v>0</v>
      </c>
      <c r="G71" s="17">
        <f>((G70 + E71) - F71)</f>
        <v/>
      </c>
      <c r="H71" s="17" t="n">
        <v>25000</v>
      </c>
      <c r="I71" s="17" t="n">
        <v>0</v>
      </c>
    </row>
    <row r="72" ht="10.95" customHeight="1" s="9">
      <c r="A72" s="15" t="n">
        <v>45802</v>
      </c>
      <c r="B72" s="16" t="inlineStr">
        <is>
          <t>Receivable Payment</t>
        </is>
      </c>
      <c r="C72" s="16" t="inlineStr">
        <is>
          <t>Payment: Ridgeway University</t>
        </is>
      </c>
      <c r="D72" s="16" t="inlineStr">
        <is>
          <t>RPT200-1</t>
        </is>
      </c>
      <c r="E72" s="17" t="n">
        <v>0</v>
      </c>
      <c r="F72" s="17" t="n">
        <v>25000</v>
      </c>
      <c r="G72" s="17">
        <f>((G71 + E72) - F72)</f>
        <v/>
      </c>
      <c r="H72" s="17" t="n">
        <v>-25000</v>
      </c>
      <c r="I72" s="17" t="n">
        <v>0</v>
      </c>
    </row>
    <row r="73" ht="10.95" customHeight="1" s="9">
      <c r="A73" s="15" t="n">
        <v>45822</v>
      </c>
      <c r="B73" s="16" t="inlineStr">
        <is>
          <t>Receivable Invoice</t>
        </is>
      </c>
      <c r="C73" s="16" t="inlineStr">
        <is>
          <t>Ridgeway University</t>
        </is>
      </c>
      <c r="D73" s="16" t="inlineStr">
        <is>
          <t>RPT200-1</t>
        </is>
      </c>
      <c r="E73" s="17" t="n">
        <v>50000</v>
      </c>
      <c r="F73" s="17" t="n">
        <v>0</v>
      </c>
      <c r="G73" s="17">
        <f>((G72 + E73) - F73)</f>
        <v/>
      </c>
      <c r="H73" s="17" t="n">
        <v>50000</v>
      </c>
      <c r="I73" s="17" t="n">
        <v>0</v>
      </c>
    </row>
    <row r="74" ht="10.95" customHeight="1" s="9">
      <c r="A74" s="15" t="n">
        <v>45832</v>
      </c>
      <c r="B74" s="16" t="inlineStr">
        <is>
          <t>Receivable Payment</t>
        </is>
      </c>
      <c r="C74" s="16" t="inlineStr">
        <is>
          <t>Payment: Ridgeway University</t>
        </is>
      </c>
      <c r="D74" s="16" t="inlineStr">
        <is>
          <t>RPT200-1</t>
        </is>
      </c>
      <c r="E74" s="17" t="n">
        <v>0</v>
      </c>
      <c r="F74" s="17" t="n">
        <v>50000</v>
      </c>
      <c r="G74" s="17">
        <f>((G73 + E74) - F74)</f>
        <v/>
      </c>
      <c r="H74" s="17" t="n">
        <v>-50000</v>
      </c>
      <c r="I74" s="17" t="n">
        <v>0</v>
      </c>
    </row>
    <row r="75" ht="10.95" customHeight="1" s="9">
      <c r="A75" s="15" t="n">
        <v>45853</v>
      </c>
      <c r="B75" s="16" t="inlineStr">
        <is>
          <t>Receivable Invoice</t>
        </is>
      </c>
      <c r="C75" s="16" t="inlineStr">
        <is>
          <t>Ridgeway University</t>
        </is>
      </c>
      <c r="D75" s="16" t="inlineStr">
        <is>
          <t>RPT200-1</t>
        </is>
      </c>
      <c r="E75" s="17" t="n">
        <v>25000</v>
      </c>
      <c r="F75" s="17" t="n">
        <v>0</v>
      </c>
      <c r="G75" s="17">
        <f>((G74 + E75) - F75)</f>
        <v/>
      </c>
      <c r="H75" s="17" t="n">
        <v>25000</v>
      </c>
      <c r="I75" s="17" t="n">
        <v>0</v>
      </c>
    </row>
    <row r="76" ht="10.95" customHeight="1" s="9">
      <c r="A76" s="15" t="n">
        <v>45863</v>
      </c>
      <c r="B76" s="16" t="inlineStr">
        <is>
          <t>Receivable Payment</t>
        </is>
      </c>
      <c r="C76" s="16" t="inlineStr">
        <is>
          <t>Payment: Ridgeway University</t>
        </is>
      </c>
      <c r="D76" s="16" t="inlineStr">
        <is>
          <t>RPT200-1</t>
        </is>
      </c>
      <c r="E76" s="17" t="n">
        <v>0</v>
      </c>
      <c r="F76" s="17" t="n">
        <v>25000</v>
      </c>
      <c r="G76" s="17">
        <f>((G75 + E76) - F76)</f>
        <v/>
      </c>
      <c r="H76" s="17" t="n">
        <v>-25000</v>
      </c>
      <c r="I76" s="17" t="n">
        <v>0</v>
      </c>
    </row>
    <row r="77" ht="10.95" customHeight="1" s="9">
      <c r="A77" s="15" t="n">
        <v>45884</v>
      </c>
      <c r="B77" s="16" t="inlineStr">
        <is>
          <t>Receivable Invoice</t>
        </is>
      </c>
      <c r="C77" s="16" t="inlineStr">
        <is>
          <t>Ridgeway University</t>
        </is>
      </c>
      <c r="D77" s="16" t="inlineStr">
        <is>
          <t>RPT200-1</t>
        </is>
      </c>
      <c r="E77" s="17" t="n">
        <v>25000</v>
      </c>
      <c r="F77" s="17" t="n">
        <v>0</v>
      </c>
      <c r="G77" s="17">
        <f>((G76 + E77) - F77)</f>
        <v/>
      </c>
      <c r="H77" s="17" t="n">
        <v>25000</v>
      </c>
      <c r="I77" s="17" t="n">
        <v>0</v>
      </c>
    </row>
    <row r="78" ht="10.95" customHeight="1" s="9">
      <c r="A78" s="15" t="n">
        <v>45894</v>
      </c>
      <c r="B78" s="16" t="inlineStr">
        <is>
          <t>Receivable Payment</t>
        </is>
      </c>
      <c r="C78" s="16" t="inlineStr">
        <is>
          <t>Payment: Ridgeway University</t>
        </is>
      </c>
      <c r="D78" s="16" t="inlineStr">
        <is>
          <t>RPT200-1</t>
        </is>
      </c>
      <c r="E78" s="17" t="n">
        <v>0</v>
      </c>
      <c r="F78" s="17" t="n">
        <v>25000</v>
      </c>
      <c r="G78" s="17">
        <f>((G77 + E78) - F78)</f>
        <v/>
      </c>
      <c r="H78" s="17" t="n">
        <v>-25000</v>
      </c>
      <c r="I78" s="17" t="n">
        <v>0</v>
      </c>
    </row>
    <row r="79" ht="10.95" customHeight="1" s="9">
      <c r="A79" s="15" t="n">
        <v>45914</v>
      </c>
      <c r="B79" s="16" t="inlineStr">
        <is>
          <t>Receivable Invoice</t>
        </is>
      </c>
      <c r="C79" s="16" t="inlineStr">
        <is>
          <t>Ridgeway University</t>
        </is>
      </c>
      <c r="D79" s="16" t="inlineStr">
        <is>
          <t>RPT200-1</t>
        </is>
      </c>
      <c r="E79" s="17" t="n">
        <v>75000</v>
      </c>
      <c r="F79" s="17" t="n">
        <v>0</v>
      </c>
      <c r="G79" s="17">
        <f>((G78 + E79) - F79)</f>
        <v/>
      </c>
      <c r="H79" s="17" t="n">
        <v>75000</v>
      </c>
      <c r="I79" s="17" t="n">
        <v>0</v>
      </c>
    </row>
    <row r="80" ht="10.95" customHeight="1" s="9">
      <c r="A80" s="15" t="n">
        <v>45924</v>
      </c>
      <c r="B80" s="16" t="inlineStr">
        <is>
          <t>Receivable Payment</t>
        </is>
      </c>
      <c r="C80" s="16" t="inlineStr">
        <is>
          <t>Payment: Ridgeway University</t>
        </is>
      </c>
      <c r="D80" s="16" t="inlineStr">
        <is>
          <t>RPT200-1</t>
        </is>
      </c>
      <c r="E80" s="17" t="n">
        <v>0</v>
      </c>
      <c r="F80" s="17" t="n">
        <v>75000</v>
      </c>
      <c r="G80" s="17">
        <f>((G79 + E80) - F80)</f>
        <v/>
      </c>
      <c r="H80" s="17" t="n">
        <v>-75000</v>
      </c>
      <c r="I80" s="17" t="n">
        <v>0</v>
      </c>
    </row>
    <row r="81" ht="10.95" customHeight="1" s="9">
      <c r="A81" s="15" t="n">
        <v>45945</v>
      </c>
      <c r="B81" s="16" t="inlineStr">
        <is>
          <t>Receivable Invoice</t>
        </is>
      </c>
      <c r="C81" s="16" t="inlineStr">
        <is>
          <t>Ridgeway University</t>
        </is>
      </c>
      <c r="D81" s="16" t="inlineStr">
        <is>
          <t>RPT200-1</t>
        </is>
      </c>
      <c r="E81" s="17" t="n">
        <v>25000</v>
      </c>
      <c r="F81" s="17" t="n">
        <v>0</v>
      </c>
      <c r="G81" s="17">
        <f>((G80 + E81) - F81)</f>
        <v/>
      </c>
      <c r="H81" s="17" t="n">
        <v>25000</v>
      </c>
      <c r="I81" s="17" t="n">
        <v>0</v>
      </c>
    </row>
    <row r="82" ht="10.95" customHeight="1" s="9">
      <c r="A82" s="15" t="n">
        <v>45955</v>
      </c>
      <c r="B82" s="16" t="inlineStr">
        <is>
          <t>Receivable Payment</t>
        </is>
      </c>
      <c r="C82" s="16" t="inlineStr">
        <is>
          <t>Payment: Ridgeway University</t>
        </is>
      </c>
      <c r="D82" s="16" t="inlineStr">
        <is>
          <t>RPT200-1</t>
        </is>
      </c>
      <c r="E82" s="17" t="n">
        <v>0</v>
      </c>
      <c r="F82" s="17" t="n">
        <v>25000</v>
      </c>
      <c r="G82" s="17">
        <f>((G81 + E82) - F82)</f>
        <v/>
      </c>
      <c r="H82" s="17" t="n">
        <v>-25000</v>
      </c>
      <c r="I82" s="17" t="n">
        <v>0</v>
      </c>
    </row>
    <row r="83" ht="10.95" customHeight="1" s="9">
      <c r="A83" s="15" t="n">
        <v>45975</v>
      </c>
      <c r="B83" s="16" t="inlineStr">
        <is>
          <t>Receivable Invoice</t>
        </is>
      </c>
      <c r="C83" s="16" t="inlineStr">
        <is>
          <t>Ridgeway University</t>
        </is>
      </c>
      <c r="D83" s="16" t="inlineStr">
        <is>
          <t>RPT200-1</t>
        </is>
      </c>
      <c r="E83" s="17" t="n">
        <v>60000</v>
      </c>
      <c r="F83" s="17" t="n">
        <v>0</v>
      </c>
      <c r="G83" s="17">
        <f>((G82 + E83) - F83)</f>
        <v/>
      </c>
      <c r="H83" s="17" t="n">
        <v>60000</v>
      </c>
      <c r="I83" s="17" t="n">
        <v>0</v>
      </c>
    </row>
    <row r="84" ht="10.95" customHeight="1" s="9">
      <c r="A84" s="15" t="n">
        <v>45985</v>
      </c>
      <c r="B84" s="16" t="inlineStr">
        <is>
          <t>Receivable Payment</t>
        </is>
      </c>
      <c r="C84" s="16" t="inlineStr">
        <is>
          <t>Payment: Ridgeway University</t>
        </is>
      </c>
      <c r="D84" s="16" t="inlineStr">
        <is>
          <t>RPT200-1</t>
        </is>
      </c>
      <c r="E84" s="17" t="n">
        <v>0</v>
      </c>
      <c r="F84" s="17" t="n">
        <v>60000</v>
      </c>
      <c r="G84" s="17">
        <f>((G83 + E84) - F84)</f>
        <v/>
      </c>
      <c r="H84" s="17" t="n">
        <v>-60000</v>
      </c>
      <c r="I84" s="17" t="n">
        <v>0</v>
      </c>
    </row>
    <row r="85" ht="10.95" customHeight="1" s="9">
      <c r="A85" s="15" t="n">
        <v>46006</v>
      </c>
      <c r="B85" s="16" t="inlineStr">
        <is>
          <t>Receivable Invoice</t>
        </is>
      </c>
      <c r="C85" s="16" t="inlineStr">
        <is>
          <t>Ridgeway University</t>
        </is>
      </c>
      <c r="D85" s="16" t="inlineStr">
        <is>
          <t>RPT200-1</t>
        </is>
      </c>
      <c r="E85" s="17" t="n">
        <v>25000</v>
      </c>
      <c r="F85" s="17" t="n">
        <v>0</v>
      </c>
      <c r="G85" s="17">
        <f>((G84 + E85) - F85)</f>
        <v/>
      </c>
      <c r="H85" s="17" t="n">
        <v>25000</v>
      </c>
      <c r="I85" s="17" t="n">
        <v>0</v>
      </c>
    </row>
    <row r="86" ht="10.95" customHeight="1" s="9">
      <c r="A86" s="15" t="n">
        <v>46015</v>
      </c>
      <c r="B86" s="16" t="inlineStr">
        <is>
          <t>Receivable Invoice</t>
        </is>
      </c>
      <c r="C86" s="16" t="inlineStr">
        <is>
          <t>Young Bros Transport</t>
        </is>
      </c>
      <c r="D86" s="16" t="inlineStr">
        <is>
          <t>Monthly Support</t>
        </is>
      </c>
      <c r="E86" s="17" t="n">
        <v>27062.5</v>
      </c>
      <c r="F86" s="17" t="n">
        <v>0</v>
      </c>
      <c r="G86" s="17">
        <f>((G85 + E86) - F86)</f>
        <v/>
      </c>
      <c r="H86" s="17" t="n">
        <v>27062.5</v>
      </c>
      <c r="I86" s="17" t="n">
        <v>0</v>
      </c>
    </row>
    <row r="87" ht="10.95" customHeight="1" s="9">
      <c r="A87" s="15" t="n">
        <v>46015</v>
      </c>
      <c r="B87" s="16" t="inlineStr">
        <is>
          <t>Receivable Invoice</t>
        </is>
      </c>
      <c r="C87" s="16" t="inlineStr">
        <is>
          <t>Rex Media Group</t>
        </is>
      </c>
      <c r="D87" s="16" t="inlineStr">
        <is>
          <t>Monthly Support</t>
        </is>
      </c>
      <c r="E87" s="17" t="n">
        <v>27062.5</v>
      </c>
      <c r="F87" s="17" t="n">
        <v>0</v>
      </c>
      <c r="G87" s="17">
        <f>((G86 + E87) - F87)</f>
        <v/>
      </c>
      <c r="H87" s="17" t="n">
        <v>27062.5</v>
      </c>
      <c r="I87" s="17" t="n">
        <v>0</v>
      </c>
    </row>
    <row r="88" ht="10.95" customHeight="1" s="9">
      <c r="A88" s="15" t="n">
        <v>46015</v>
      </c>
      <c r="B88" s="16" t="inlineStr">
        <is>
          <t>Receivable Invoice</t>
        </is>
      </c>
      <c r="C88" s="16" t="inlineStr">
        <is>
          <t>Hamilton Smith Ltd</t>
        </is>
      </c>
      <c r="D88" s="16" t="inlineStr">
        <is>
          <t>Monthly Support</t>
        </is>
      </c>
      <c r="E88" s="17" t="n">
        <v>27062.5</v>
      </c>
      <c r="F88" s="17" t="n">
        <v>0</v>
      </c>
      <c r="G88" s="17">
        <f>((G87 + E88) - F88)</f>
        <v/>
      </c>
      <c r="H88" s="17" t="n">
        <v>27062.5</v>
      </c>
      <c r="I88" s="17" t="n">
        <v>0</v>
      </c>
    </row>
    <row r="89" ht="10.95" customHeight="1" s="9">
      <c r="A89" s="15" t="n">
        <v>46015</v>
      </c>
      <c r="B89" s="16" t="inlineStr">
        <is>
          <t>Receivable Invoice</t>
        </is>
      </c>
      <c r="C89" s="16" t="inlineStr">
        <is>
          <t>Port &amp; Philip Freight</t>
        </is>
      </c>
      <c r="D89" s="16" t="inlineStr">
        <is>
          <t>Monthly Support</t>
        </is>
      </c>
      <c r="E89" s="17" t="n">
        <v>27062.5</v>
      </c>
      <c r="F89" s="17" t="n">
        <v>0</v>
      </c>
      <c r="G89" s="17">
        <f>((G88 + E89) - F89)</f>
        <v/>
      </c>
      <c r="H89" s="17" t="n">
        <v>27062.5</v>
      </c>
      <c r="I89" s="17" t="n">
        <v>0</v>
      </c>
    </row>
    <row r="90" ht="10.95" customHeight="1" s="9">
      <c r="A90" s="15" t="n">
        <v>46016</v>
      </c>
      <c r="B90" s="16" t="inlineStr">
        <is>
          <t>Receivable Payment</t>
        </is>
      </c>
      <c r="C90" s="16" t="inlineStr">
        <is>
          <t>Payment: Ridgeway University</t>
        </is>
      </c>
      <c r="D90" s="16" t="inlineStr">
        <is>
          <t>RPT200-1</t>
        </is>
      </c>
      <c r="E90" s="17" t="n">
        <v>0</v>
      </c>
      <c r="F90" s="17" t="n">
        <v>25000</v>
      </c>
      <c r="G90" s="17">
        <f>((G89 + E90) - F90)</f>
        <v/>
      </c>
      <c r="H90" s="17" t="n">
        <v>-25000</v>
      </c>
      <c r="I90" s="17" t="n">
        <v>0</v>
      </c>
    </row>
    <row r="91" ht="10.95" customHeight="1" s="9">
      <c r="A91" s="15" t="n">
        <v>46016</v>
      </c>
      <c r="B91" s="16" t="inlineStr">
        <is>
          <t>Receivable Invoice</t>
        </is>
      </c>
      <c r="C91" s="16" t="inlineStr">
        <is>
          <t>Hamilton Smith Ltd</t>
        </is>
      </c>
      <c r="D91" s="16" t="inlineStr">
        <is>
          <t>Monthly Support</t>
        </is>
      </c>
      <c r="E91" s="17" t="n">
        <v>27062.5</v>
      </c>
      <c r="F91" s="17" t="n">
        <v>0</v>
      </c>
      <c r="G91" s="17">
        <f>((G90 + E91) - F91)</f>
        <v/>
      </c>
      <c r="H91" s="17" t="n">
        <v>27062.5</v>
      </c>
      <c r="I91" s="17" t="n">
        <v>0</v>
      </c>
    </row>
    <row r="92" ht="10.95" customHeight="1" s="9">
      <c r="A92" s="15" t="n">
        <v>46017</v>
      </c>
      <c r="B92" s="16" t="inlineStr">
        <is>
          <t>Receivable Credit Note</t>
        </is>
      </c>
      <c r="C92" s="16" t="inlineStr">
        <is>
          <t>Hamilton Smith Ltd</t>
        </is>
      </c>
      <c r="D92" s="16" t="inlineStr">
        <is>
          <t>Monthly Support</t>
        </is>
      </c>
      <c r="E92" s="17" t="n">
        <v>0</v>
      </c>
      <c r="F92" s="17" t="n">
        <v>27062.5</v>
      </c>
      <c r="G92" s="17">
        <f>((G91 + E92) - F92)</f>
        <v/>
      </c>
      <c r="H92" s="17" t="n">
        <v>-27062.5</v>
      </c>
      <c r="I92" s="17" t="n">
        <v>0</v>
      </c>
    </row>
    <row r="93" ht="10.95" customHeight="1" s="9">
      <c r="A93" s="15" t="n">
        <v>46017</v>
      </c>
      <c r="B93" s="16" t="inlineStr">
        <is>
          <t>Receivable Credit Note Allocation</t>
        </is>
      </c>
      <c r="C93" s="16" t="inlineStr">
        <is>
          <t>Hamilton Smith Ltd</t>
        </is>
      </c>
      <c r="D93" s="16" t="inlineStr">
        <is>
          <t>Monthly Support</t>
        </is>
      </c>
      <c r="E93" s="17" t="n">
        <v>0</v>
      </c>
      <c r="F93" s="17" t="n">
        <v>27062.5</v>
      </c>
      <c r="G93" s="17">
        <f>((G92 + E93) - F93)</f>
        <v/>
      </c>
      <c r="H93" s="17" t="n">
        <v>-27062.5</v>
      </c>
      <c r="I93" s="17" t="n">
        <v>0</v>
      </c>
    </row>
    <row r="94" ht="10.95" customHeight="1" s="9">
      <c r="A94" s="15" t="n">
        <v>46017</v>
      </c>
      <c r="B94" s="16" t="inlineStr">
        <is>
          <t>Receivable Credit Note Allocation</t>
        </is>
      </c>
      <c r="C94" s="16" t="inlineStr">
        <is>
          <t>Hamilton Smith Ltd</t>
        </is>
      </c>
      <c r="D94" s="16" t="inlineStr">
        <is>
          <t>Monthly Support</t>
        </is>
      </c>
      <c r="E94" s="17" t="n">
        <v>27062.5</v>
      </c>
      <c r="F94" s="17" t="n">
        <v>0</v>
      </c>
      <c r="G94" s="17">
        <f>((G93 + E94) - F94)</f>
        <v/>
      </c>
      <c r="H94" s="17" t="n">
        <v>27062.5</v>
      </c>
      <c r="I94" s="17" t="n">
        <v>0</v>
      </c>
    </row>
    <row r="95" ht="10.95" customHeight="1" s="9">
      <c r="A95" s="15" t="n">
        <v>46018</v>
      </c>
      <c r="B95" s="16" t="inlineStr">
        <is>
          <t>Receivable Invoice</t>
        </is>
      </c>
      <c r="C95" s="16" t="inlineStr">
        <is>
          <t>City Limousines</t>
        </is>
      </c>
      <c r="D95" s="16" t="inlineStr">
        <is>
          <t>P/O 9711</t>
        </is>
      </c>
      <c r="E95" s="17" t="n">
        <v>12500</v>
      </c>
      <c r="F95" s="17" t="n">
        <v>0</v>
      </c>
      <c r="G95" s="17">
        <f>((G94 + E95) - F95)</f>
        <v/>
      </c>
      <c r="H95" s="17" t="n">
        <v>12500</v>
      </c>
      <c r="I95" s="17" t="n">
        <v>0</v>
      </c>
    </row>
    <row r="96" ht="10.95" customHeight="1" s="9">
      <c r="A96" s="15" t="n">
        <v>46025</v>
      </c>
      <c r="B96" s="16" t="inlineStr">
        <is>
          <t>Receivable Payment</t>
        </is>
      </c>
      <c r="C96" s="16" t="inlineStr">
        <is>
          <t>Payment: Rex Media Group</t>
        </is>
      </c>
      <c r="D96" s="16" t="inlineStr">
        <is>
          <t>Monthly Support</t>
        </is>
      </c>
      <c r="E96" s="17" t="n">
        <v>0</v>
      </c>
      <c r="F96" s="17" t="n">
        <v>27062.5</v>
      </c>
      <c r="G96" s="17">
        <f>((G95 + E96) - F96)</f>
        <v/>
      </c>
      <c r="H96" s="17" t="n">
        <v>-27062.5</v>
      </c>
      <c r="I96" s="17" t="n">
        <v>0</v>
      </c>
    </row>
    <row r="97" ht="10.95" customHeight="1" s="9">
      <c r="A97" s="15" t="n">
        <v>46025</v>
      </c>
      <c r="B97" s="16" t="inlineStr">
        <is>
          <t>Receivable Payment</t>
        </is>
      </c>
      <c r="C97" s="16" t="inlineStr">
        <is>
          <t>Payment: Young Bros Transport</t>
        </is>
      </c>
      <c r="D97" s="16" t="inlineStr">
        <is>
          <t>Monthly Support</t>
        </is>
      </c>
      <c r="E97" s="17" t="n">
        <v>0</v>
      </c>
      <c r="F97" s="17" t="n">
        <v>27062.5</v>
      </c>
      <c r="G97" s="17">
        <f>((G96 + E97) - F97)</f>
        <v/>
      </c>
      <c r="H97" s="17" t="n">
        <v>-27062.5</v>
      </c>
      <c r="I97" s="17" t="n">
        <v>0</v>
      </c>
    </row>
    <row r="98" ht="10.95" customHeight="1" s="9">
      <c r="A98" s="15" t="n">
        <v>46025</v>
      </c>
      <c r="B98" s="16" t="inlineStr">
        <is>
          <t>Receivable Payment</t>
        </is>
      </c>
      <c r="C98" s="16" t="inlineStr">
        <is>
          <t>Payment: Port &amp; Philip Freight</t>
        </is>
      </c>
      <c r="D98" s="16" t="inlineStr">
        <is>
          <t>Monthly Support</t>
        </is>
      </c>
      <c r="E98" s="17" t="n">
        <v>0</v>
      </c>
      <c r="F98" s="17" t="n">
        <v>27062.5</v>
      </c>
      <c r="G98" s="17">
        <f>((G97 + E98) - F98)</f>
        <v/>
      </c>
      <c r="H98" s="17" t="n">
        <v>-27062.5</v>
      </c>
      <c r="I98" s="17" t="n">
        <v>0</v>
      </c>
    </row>
    <row r="99" ht="10.95" customHeight="1" s="9">
      <c r="A99" s="15" t="n">
        <v>46025</v>
      </c>
      <c r="B99" s="16" t="inlineStr">
        <is>
          <t>Receivable Payment</t>
        </is>
      </c>
      <c r="C99" s="16" t="inlineStr">
        <is>
          <t>Payment: Hamilton Smith Ltd</t>
        </is>
      </c>
      <c r="D99" s="16" t="inlineStr">
        <is>
          <t>Monthly Support</t>
        </is>
      </c>
      <c r="E99" s="17" t="n">
        <v>0</v>
      </c>
      <c r="F99" s="17" t="n">
        <v>27062.5</v>
      </c>
      <c r="G99" s="17">
        <f>((G98 + E99) - F99)</f>
        <v/>
      </c>
      <c r="H99" s="17" t="n">
        <v>-27062.5</v>
      </c>
      <c r="I99" s="17" t="n">
        <v>0</v>
      </c>
    </row>
    <row r="100" ht="10.95" customHeight="1" s="9">
      <c r="A100" s="15" t="n">
        <v>46026</v>
      </c>
      <c r="B100" s="16" t="inlineStr">
        <is>
          <t>Receivable Invoice</t>
        </is>
      </c>
      <c r="C100" s="16" t="inlineStr">
        <is>
          <t>Bank West</t>
        </is>
      </c>
      <c r="D100" s="16" t="inlineStr">
        <is>
          <t>Training</t>
        </is>
      </c>
      <c r="E100" s="17" t="n">
        <v>75000</v>
      </c>
      <c r="F100" s="17" t="n">
        <v>0</v>
      </c>
      <c r="G100" s="17">
        <f>((G99 + E100) - F100)</f>
        <v/>
      </c>
      <c r="H100" s="17" t="n">
        <v>75000</v>
      </c>
      <c r="I100" s="17" t="n">
        <v>0</v>
      </c>
    </row>
    <row r="101" ht="10.95" customHeight="1" s="9">
      <c r="A101" s="15" t="n">
        <v>46036</v>
      </c>
      <c r="B101" s="16" t="inlineStr">
        <is>
          <t>Receivable Payment</t>
        </is>
      </c>
      <c r="C101" s="16" t="inlineStr">
        <is>
          <t>Payment: Bank West</t>
        </is>
      </c>
      <c r="D101" s="16" t="inlineStr">
        <is>
          <t>Training</t>
        </is>
      </c>
      <c r="E101" s="17" t="n">
        <v>0</v>
      </c>
      <c r="F101" s="17" t="n">
        <v>75000</v>
      </c>
      <c r="G101" s="17">
        <f>((G100 + E101) - F101)</f>
        <v/>
      </c>
      <c r="H101" s="17" t="n">
        <v>-75000</v>
      </c>
      <c r="I101" s="17" t="n">
        <v>0</v>
      </c>
    </row>
    <row r="102" ht="10.95" customHeight="1" s="9">
      <c r="A102" s="15" t="n">
        <v>46037</v>
      </c>
      <c r="B102" s="16" t="inlineStr">
        <is>
          <t>Receivable Invoice</t>
        </is>
      </c>
      <c r="C102" s="16" t="inlineStr">
        <is>
          <t>Ridgeway University</t>
        </is>
      </c>
      <c r="D102" s="16" t="inlineStr">
        <is>
          <t>RPT200-1</t>
        </is>
      </c>
      <c r="E102" s="17" t="n">
        <v>125000</v>
      </c>
      <c r="F102" s="17" t="n">
        <v>0</v>
      </c>
      <c r="G102" s="17">
        <f>((G101 + E102) - F102)</f>
        <v/>
      </c>
      <c r="H102" s="17" t="n">
        <v>125000</v>
      </c>
      <c r="I102" s="17" t="n">
        <v>0</v>
      </c>
    </row>
    <row r="103" ht="10.95" customHeight="1" s="9">
      <c r="A103" s="15" t="n">
        <v>46040</v>
      </c>
      <c r="B103" s="16" t="inlineStr">
        <is>
          <t>Receivable Invoice</t>
        </is>
      </c>
      <c r="C103" s="16" t="inlineStr">
        <is>
          <t>City Agency</t>
        </is>
      </c>
      <c r="D103" s="16" t="inlineStr">
        <is>
          <t>Workshop</t>
        </is>
      </c>
      <c r="E103" s="17" t="n">
        <v>16490</v>
      </c>
      <c r="F103" s="17" t="n">
        <v>0</v>
      </c>
      <c r="G103" s="17">
        <f>((G102 + E103) - F103)</f>
        <v/>
      </c>
      <c r="H103" s="17" t="n">
        <v>16490</v>
      </c>
      <c r="I103" s="17" t="n">
        <v>0</v>
      </c>
    </row>
    <row r="104" ht="10.95" customHeight="1" s="9">
      <c r="A104" s="15" t="n">
        <v>46047</v>
      </c>
      <c r="B104" s="16" t="inlineStr">
        <is>
          <t>Receivable Payment</t>
        </is>
      </c>
      <c r="C104" s="16" t="inlineStr">
        <is>
          <t>Payment: Ridgeway University</t>
        </is>
      </c>
      <c r="D104" s="16" t="inlineStr">
        <is>
          <t>RPT200-1</t>
        </is>
      </c>
      <c r="E104" s="17" t="n">
        <v>0</v>
      </c>
      <c r="F104" s="17" t="n">
        <v>125000</v>
      </c>
      <c r="G104" s="17">
        <f>((G103 + E104) - F104)</f>
        <v/>
      </c>
      <c r="H104" s="17" t="n">
        <v>-125000</v>
      </c>
      <c r="I104" s="17" t="n">
        <v>0</v>
      </c>
    </row>
    <row r="105" ht="10.95" customHeight="1" s="9">
      <c r="A105" s="15" t="n">
        <v>46049</v>
      </c>
      <c r="B105" s="16" t="inlineStr">
        <is>
          <t>Receivable Invoice</t>
        </is>
      </c>
      <c r="C105" s="16" t="inlineStr">
        <is>
          <t>City Limousines</t>
        </is>
      </c>
      <c r="D105" s="16" t="inlineStr">
        <is>
          <t>P/O 9711</t>
        </is>
      </c>
      <c r="E105" s="17" t="n">
        <v>12500</v>
      </c>
      <c r="F105" s="17" t="n">
        <v>0</v>
      </c>
      <c r="G105" s="17">
        <f>((G104 + E105) - F105)</f>
        <v/>
      </c>
      <c r="H105" s="17" t="n">
        <v>12500</v>
      </c>
      <c r="I105" s="17" t="n">
        <v>0</v>
      </c>
    </row>
    <row r="106" ht="10.95" customHeight="1" s="9">
      <c r="A106" s="15" t="n">
        <v>46049</v>
      </c>
      <c r="B106" s="16" t="inlineStr">
        <is>
          <t>Receivable Invoice</t>
        </is>
      </c>
      <c r="C106" s="16" t="inlineStr">
        <is>
          <t>DIISR - Small Business Services</t>
        </is>
      </c>
      <c r="D106" s="16" t="inlineStr">
        <is>
          <t>Yr Ref W08-143</t>
        </is>
      </c>
      <c r="E106" s="17" t="n">
        <v>42500</v>
      </c>
      <c r="F106" s="17" t="n">
        <v>0</v>
      </c>
      <c r="G106" s="17">
        <f>((G105 + E106) - F106)</f>
        <v/>
      </c>
      <c r="H106" s="17" t="n">
        <v>42500</v>
      </c>
      <c r="I106" s="17" t="n">
        <v>0</v>
      </c>
    </row>
    <row r="107" ht="10.95" customHeight="1" s="9">
      <c r="A107" s="15" t="n">
        <v>46050</v>
      </c>
      <c r="B107" s="16" t="inlineStr">
        <is>
          <t>Receivable Payment</t>
        </is>
      </c>
      <c r="C107" s="16" t="inlineStr">
        <is>
          <t>Payment: City Agency</t>
        </is>
      </c>
      <c r="D107" s="16" t="inlineStr">
        <is>
          <t>Workshop</t>
        </is>
      </c>
      <c r="E107" s="17" t="n">
        <v>0</v>
      </c>
      <c r="F107" s="17" t="n">
        <v>16490</v>
      </c>
      <c r="G107" s="17">
        <f>((G106 + E107) - F107)</f>
        <v/>
      </c>
      <c r="H107" s="17" t="n">
        <v>-16490</v>
      </c>
      <c r="I107" s="17" t="n">
        <v>0</v>
      </c>
    </row>
    <row r="108" ht="10.95" customHeight="1" s="9">
      <c r="A108" s="15" t="n">
        <v>46054</v>
      </c>
      <c r="B108" s="16" t="inlineStr">
        <is>
          <t>Receivable Invoice</t>
        </is>
      </c>
      <c r="C108" s="16" t="inlineStr">
        <is>
          <t>City Limousines</t>
        </is>
      </c>
      <c r="D108" s="16" t="inlineStr">
        <is>
          <t>Book</t>
        </is>
      </c>
      <c r="E108" s="17" t="n">
        <v>997.5</v>
      </c>
      <c r="F108" s="17" t="n">
        <v>0</v>
      </c>
      <c r="G108" s="17">
        <f>((G107 + E108) - F108)</f>
        <v/>
      </c>
      <c r="H108" s="17" t="n">
        <v>997.5</v>
      </c>
      <c r="I108" s="17" t="n">
        <v>0</v>
      </c>
    </row>
    <row r="109" ht="10.95" customHeight="1" s="9">
      <c r="A109" s="15" t="n">
        <v>46067</v>
      </c>
      <c r="B109" s="16" t="inlineStr">
        <is>
          <t>Receivable Invoice</t>
        </is>
      </c>
      <c r="C109" s="16" t="inlineStr">
        <is>
          <t>Ridgeway University</t>
        </is>
      </c>
      <c r="D109" s="16" t="inlineStr">
        <is>
          <t>P/O CRM08-12</t>
        </is>
      </c>
      <c r="E109" s="17" t="n">
        <v>309375</v>
      </c>
      <c r="F109" s="17" t="n">
        <v>0</v>
      </c>
      <c r="G109" s="17">
        <f>((G108 + E109) - F109)</f>
        <v/>
      </c>
      <c r="H109" s="17" t="n">
        <v>309375</v>
      </c>
      <c r="I109" s="17" t="n">
        <v>0</v>
      </c>
    </row>
    <row r="110" ht="10.95" customHeight="1" s="9">
      <c r="A110" s="15" t="n">
        <v>46068</v>
      </c>
      <c r="B110" s="16" t="inlineStr">
        <is>
          <t>Receivable Invoice</t>
        </is>
      </c>
      <c r="C110" s="16" t="inlineStr">
        <is>
          <t>Boom FM</t>
        </is>
      </c>
      <c r="D110" s="16" t="inlineStr">
        <is>
          <t>Training</t>
        </is>
      </c>
      <c r="E110" s="17" t="n">
        <v>25000</v>
      </c>
      <c r="F110" s="17" t="n">
        <v>0</v>
      </c>
      <c r="G110" s="17">
        <f>((G109 + E110) - F110)</f>
        <v/>
      </c>
      <c r="H110" s="17" t="n">
        <v>25000</v>
      </c>
      <c r="I110" s="17" t="n">
        <v>0</v>
      </c>
    </row>
    <row r="111" ht="10.95" customHeight="1" s="9">
      <c r="A111" s="15" t="n">
        <v>46070</v>
      </c>
      <c r="B111" s="16" t="inlineStr">
        <is>
          <t>Receivable Invoice</t>
        </is>
      </c>
      <c r="C111" s="16" t="inlineStr">
        <is>
          <t>Petrie McLoud Watson &amp; Associates</t>
        </is>
      </c>
      <c r="D111" s="16" t="inlineStr">
        <is>
          <t>Portal Proj</t>
        </is>
      </c>
      <c r="E111" s="17" t="n">
        <v>70362.5</v>
      </c>
      <c r="F111" s="17" t="n">
        <v>0</v>
      </c>
      <c r="G111" s="17">
        <f>((G110 + E111) - F111)</f>
        <v/>
      </c>
      <c r="H111" s="17" t="n">
        <v>70362.5</v>
      </c>
      <c r="I111" s="17" t="n">
        <v>0</v>
      </c>
    </row>
    <row r="112" ht="10.95" customHeight="1" s="9">
      <c r="A112" s="15" t="n">
        <v>46071</v>
      </c>
      <c r="B112" s="16" t="inlineStr">
        <is>
          <t>Receivable Invoice</t>
        </is>
      </c>
      <c r="C112" s="16" t="inlineStr">
        <is>
          <t>Boom FM</t>
        </is>
      </c>
      <c r="D112" s="16" t="inlineStr">
        <is>
          <t>Training</t>
        </is>
      </c>
      <c r="E112" s="17" t="n">
        <v>50000</v>
      </c>
      <c r="F112" s="17" t="n">
        <v>0</v>
      </c>
      <c r="G112" s="17">
        <f>((G111 + E112) - F112)</f>
        <v/>
      </c>
      <c r="H112" s="17" t="n">
        <v>50000</v>
      </c>
      <c r="I112" s="17" t="n">
        <v>0</v>
      </c>
    </row>
    <row r="113" ht="10.95" customHeight="1" s="9">
      <c r="A113" s="15" t="n">
        <v>46071</v>
      </c>
      <c r="B113" s="16" t="inlineStr">
        <is>
          <t>Receivable Credit Note Allocation</t>
        </is>
      </c>
      <c r="C113" s="16" t="inlineStr">
        <is>
          <t>Boom FM</t>
        </is>
      </c>
      <c r="D113" s="16" t="inlineStr">
        <is>
          <t>Training</t>
        </is>
      </c>
      <c r="E113" s="17" t="n">
        <v>0</v>
      </c>
      <c r="F113" s="17" t="n">
        <v>25000</v>
      </c>
      <c r="G113" s="17">
        <f>((G112 + E113) - F113)</f>
        <v/>
      </c>
      <c r="H113" s="17" t="n">
        <v>-25000</v>
      </c>
      <c r="I113" s="17" t="n">
        <v>0</v>
      </c>
    </row>
    <row r="114" ht="10.95" customHeight="1" s="9">
      <c r="A114" s="15" t="n">
        <v>46071</v>
      </c>
      <c r="B114" s="16" t="inlineStr">
        <is>
          <t>Receivable Credit Note Allocation</t>
        </is>
      </c>
      <c r="C114" s="16" t="inlineStr">
        <is>
          <t>Boom FM</t>
        </is>
      </c>
      <c r="D114" s="16" t="inlineStr">
        <is>
          <t>Training</t>
        </is>
      </c>
      <c r="E114" s="17" t="n">
        <v>25000</v>
      </c>
      <c r="F114" s="17" t="n">
        <v>0</v>
      </c>
      <c r="G114" s="17">
        <f>((G113 + E114) - F114)</f>
        <v/>
      </c>
      <c r="H114" s="17" t="n">
        <v>25000</v>
      </c>
      <c r="I114" s="17" t="n">
        <v>0</v>
      </c>
    </row>
    <row r="115" ht="10.95" customHeight="1" s="9">
      <c r="A115" s="15" t="n">
        <v>46071</v>
      </c>
      <c r="B115" s="16" t="inlineStr">
        <is>
          <t>Receivable Credit Note</t>
        </is>
      </c>
      <c r="C115" s="16" t="inlineStr">
        <is>
          <t>Boom FM</t>
        </is>
      </c>
      <c r="D115" s="16" t="inlineStr">
        <is>
          <t>Training</t>
        </is>
      </c>
      <c r="E115" s="17" t="n">
        <v>0</v>
      </c>
      <c r="F115" s="17" t="n">
        <v>25000</v>
      </c>
      <c r="G115" s="17">
        <f>((G114 + E115) - F115)</f>
        <v/>
      </c>
      <c r="H115" s="17" t="n">
        <v>-25000</v>
      </c>
      <c r="I115" s="17" t="n">
        <v>0</v>
      </c>
    </row>
    <row r="116" ht="10.95" customHeight="1" s="9">
      <c r="A116" s="15" t="n">
        <v>46075</v>
      </c>
      <c r="B116" s="16" t="inlineStr">
        <is>
          <t>Receivable Invoice</t>
        </is>
      </c>
      <c r="C116" s="16" t="inlineStr">
        <is>
          <t>Port &amp; Philip Freight</t>
        </is>
      </c>
      <c r="D116" s="16" t="inlineStr">
        <is>
          <t>INV-0041</t>
        </is>
      </c>
      <c r="E116" s="17" t="n">
        <v>12500</v>
      </c>
      <c r="F116" s="17" t="n">
        <v>0</v>
      </c>
      <c r="G116" s="17">
        <f>((G115 + E116) - F116)</f>
        <v/>
      </c>
      <c r="H116" s="17" t="n">
        <v>12500</v>
      </c>
      <c r="I116" s="17" t="n">
        <v>0</v>
      </c>
    </row>
    <row r="117" ht="10.95" customHeight="1" s="9">
      <c r="A117" s="15" t="n">
        <v>46076</v>
      </c>
      <c r="B117" s="16" t="inlineStr">
        <is>
          <t>Receivable Invoice</t>
        </is>
      </c>
      <c r="C117" s="16" t="inlineStr">
        <is>
          <t>Port &amp; Philip Freight</t>
        </is>
      </c>
      <c r="D117" s="16" t="inlineStr">
        <is>
          <t>INV-0042</t>
        </is>
      </c>
      <c r="E117" s="17" t="n">
        <v>99750</v>
      </c>
      <c r="F117" s="17" t="n">
        <v>0</v>
      </c>
      <c r="G117" s="17">
        <f>((G116 + E117) - F117)</f>
        <v/>
      </c>
      <c r="H117" s="17" t="n">
        <v>99750</v>
      </c>
      <c r="I117" s="17" t="n">
        <v>0</v>
      </c>
    </row>
    <row r="118" ht="10.95" customHeight="1" s="9">
      <c r="A118" s="15" t="n">
        <v>46077</v>
      </c>
      <c r="B118" s="16" t="inlineStr">
        <is>
          <t>Receivable Invoice</t>
        </is>
      </c>
      <c r="C118" s="16" t="inlineStr">
        <is>
          <t>Port &amp; Philip Freight</t>
        </is>
      </c>
      <c r="D118" s="16" t="inlineStr">
        <is>
          <t>Monthly Support</t>
        </is>
      </c>
      <c r="E118" s="17" t="n">
        <v>27062.5</v>
      </c>
      <c r="F118" s="17" t="n">
        <v>0</v>
      </c>
      <c r="G118" s="17">
        <f>((G117 + E118) - F118)</f>
        <v/>
      </c>
      <c r="H118" s="17" t="n">
        <v>27062.5</v>
      </c>
      <c r="I118" s="17" t="n">
        <v>0</v>
      </c>
    </row>
    <row r="119" ht="10.95" customHeight="1" s="9">
      <c r="A119" s="15" t="n">
        <v>46077</v>
      </c>
      <c r="B119" s="16" t="inlineStr">
        <is>
          <t>Receivable Invoice</t>
        </is>
      </c>
      <c r="C119" s="16" t="inlineStr">
        <is>
          <t>Rex Media Group</t>
        </is>
      </c>
      <c r="D119" s="16" t="inlineStr">
        <is>
          <t>Monthly Support</t>
        </is>
      </c>
      <c r="E119" s="17" t="n">
        <v>27062.5</v>
      </c>
      <c r="F119" s="17" t="n">
        <v>0</v>
      </c>
      <c r="G119" s="17">
        <f>((G118 + E119) - F119)</f>
        <v/>
      </c>
      <c r="H119" s="17" t="n">
        <v>27062.5</v>
      </c>
      <c r="I119" s="17" t="n">
        <v>0</v>
      </c>
    </row>
    <row r="120" ht="10.95" customHeight="1" s="9">
      <c r="A120" s="15" t="n">
        <v>46077</v>
      </c>
      <c r="B120" s="16" t="inlineStr">
        <is>
          <t>Receivable Invoice</t>
        </is>
      </c>
      <c r="C120" s="16" t="inlineStr">
        <is>
          <t>Hamilton Smith Ltd</t>
        </is>
      </c>
      <c r="D120" s="16" t="inlineStr">
        <is>
          <t>Monthly Support</t>
        </is>
      </c>
      <c r="E120" s="17" t="n">
        <v>27062.5</v>
      </c>
      <c r="F120" s="17" t="n">
        <v>0</v>
      </c>
      <c r="G120" s="17">
        <f>((G119 + E120) - F120)</f>
        <v/>
      </c>
      <c r="H120" s="17" t="n">
        <v>27062.5</v>
      </c>
      <c r="I120" s="17" t="n">
        <v>0</v>
      </c>
    </row>
    <row r="121" ht="10.95" customHeight="1" s="9">
      <c r="A121" s="15" t="n">
        <v>46077</v>
      </c>
      <c r="B121" s="16" t="inlineStr">
        <is>
          <t>Receivable Invoice</t>
        </is>
      </c>
      <c r="C121" s="16" t="inlineStr">
        <is>
          <t>Young Bros Transport</t>
        </is>
      </c>
      <c r="D121" s="16" t="inlineStr">
        <is>
          <t>Monthly Support</t>
        </is>
      </c>
      <c r="E121" s="17" t="n">
        <v>27062.5</v>
      </c>
      <c r="F121" s="17" t="n">
        <v>0</v>
      </c>
      <c r="G121" s="17">
        <f>((G120 + E121) - F121)</f>
        <v/>
      </c>
      <c r="H121" s="17" t="n">
        <v>27062.5</v>
      </c>
      <c r="I121" s="17" t="n">
        <v>0</v>
      </c>
    </row>
    <row r="122" ht="10.95" customHeight="1" s="9">
      <c r="A122" s="15" t="n">
        <v>46077</v>
      </c>
      <c r="B122" s="16" t="inlineStr">
        <is>
          <t>Receivable Payment</t>
        </is>
      </c>
      <c r="C122" s="16" t="inlineStr">
        <is>
          <t>Payment: Ridgeway University</t>
        </is>
      </c>
      <c r="D122" s="16" t="inlineStr">
        <is>
          <t>P/O CRM08-12</t>
        </is>
      </c>
      <c r="E122" s="17" t="n">
        <v>0</v>
      </c>
      <c r="F122" s="17" t="n">
        <v>309375</v>
      </c>
      <c r="G122" s="17">
        <f>((G121 + E122) - F122)</f>
        <v/>
      </c>
      <c r="H122" s="17" t="n">
        <v>-309375</v>
      </c>
      <c r="I122" s="17" t="n">
        <v>0</v>
      </c>
    </row>
    <row r="123" ht="10.95" customHeight="1" s="9">
      <c r="A123" s="15" t="n">
        <v>46078</v>
      </c>
      <c r="B123" s="16" t="inlineStr">
        <is>
          <t>Receivable Invoice</t>
        </is>
      </c>
      <c r="C123" s="16" t="inlineStr">
        <is>
          <t>DIISR - Small Business Services</t>
        </is>
      </c>
      <c r="D123" s="16" t="inlineStr">
        <is>
          <t>Yr Ref W08-143</t>
        </is>
      </c>
      <c r="E123" s="17" t="n">
        <v>13497.5</v>
      </c>
      <c r="F123" s="17" t="n">
        <v>0</v>
      </c>
      <c r="G123" s="17">
        <f>((G122 + E123) - F123)</f>
        <v/>
      </c>
      <c r="H123" s="17" t="n">
        <v>13497.5</v>
      </c>
      <c r="I123" s="17" t="n">
        <v>0</v>
      </c>
    </row>
    <row r="124" ht="10.95" customHeight="1" s="9">
      <c r="A124" s="15" t="n">
        <v>46080</v>
      </c>
      <c r="B124" s="16" t="inlineStr">
        <is>
          <t>Receivable Payment</t>
        </is>
      </c>
      <c r="C124" s="16" t="inlineStr">
        <is>
          <t>Payment: Petrie McLoud Watson &amp; Associates</t>
        </is>
      </c>
      <c r="D124" s="16" t="inlineStr">
        <is>
          <t>Portal Proj</t>
        </is>
      </c>
      <c r="E124" s="17" t="n">
        <v>0</v>
      </c>
      <c r="F124" s="17" t="n">
        <v>70362.5</v>
      </c>
      <c r="G124" s="17">
        <f>((G123 + E124) - F124)</f>
        <v/>
      </c>
      <c r="H124" s="17" t="n">
        <v>-70362.5</v>
      </c>
      <c r="I124" s="17" t="n">
        <v>0</v>
      </c>
    </row>
    <row r="125" ht="10.95" customHeight="1" s="9">
      <c r="A125" s="15" t="n">
        <v>46081</v>
      </c>
      <c r="B125" s="16" t="inlineStr">
        <is>
          <t>Receivable Payment</t>
        </is>
      </c>
      <c r="C125" s="16" t="inlineStr">
        <is>
          <t>Payment: Boom FM</t>
        </is>
      </c>
      <c r="D125" s="16" t="inlineStr">
        <is>
          <t>Training</t>
        </is>
      </c>
      <c r="E125" s="17" t="n">
        <v>0</v>
      </c>
      <c r="F125" s="17" t="n">
        <v>50000</v>
      </c>
      <c r="G125" s="17">
        <f>((G124 + E125) - F125)</f>
        <v/>
      </c>
      <c r="H125" s="17" t="n">
        <v>-50000</v>
      </c>
      <c r="I125" s="17" t="n">
        <v>0</v>
      </c>
    </row>
    <row r="126" ht="10.95" customHeight="1" s="9">
      <c r="A126" s="18" t="inlineStr">
        <is>
          <t>Total Accounts Receivable</t>
        </is>
      </c>
      <c r="B126" s="18" t="n"/>
      <c r="C126" s="18" t="n"/>
      <c r="D126" s="18" t="n"/>
      <c r="E126" s="19">
        <f>SUM(E69:E125)</f>
        <v/>
      </c>
      <c r="F126" s="19">
        <f>SUM(F69:F125)</f>
        <v/>
      </c>
      <c r="G126" s="19">
        <f>G125</f>
        <v/>
      </c>
      <c r="H126" s="19">
        <f>SUM(H69:H125)</f>
        <v/>
      </c>
      <c r="I126" s="19">
        <f>SUM(I69:I125)</f>
        <v/>
      </c>
    </row>
    <row r="127" ht="10.95" customHeight="1" s="9">
      <c r="A127" s="10" t="inlineStr">
        <is>
          <t>Closing Balance</t>
        </is>
      </c>
      <c r="B127" s="10" t="n"/>
      <c r="C127" s="10" t="n"/>
      <c r="D127" s="10" t="n"/>
      <c r="E127" s="11" t="n">
        <v>302495</v>
      </c>
      <c r="F127" s="11" t="n">
        <v>0</v>
      </c>
      <c r="G127" s="11">
        <f>G125</f>
        <v/>
      </c>
      <c r="H127" s="11" t="n">
        <v>0</v>
      </c>
      <c r="I127" s="11" t="n">
        <v>0</v>
      </c>
    </row>
    <row r="128" ht="13.35" customHeight="1" s="9"/>
    <row r="129" ht="12.1" customFormat="1" customHeight="1" s="5">
      <c r="A129" s="20" t="inlineStr">
        <is>
          <t>Advertising &amp; Marketing</t>
        </is>
      </c>
      <c r="B129" s="20" t="n"/>
      <c r="C129" s="20" t="n"/>
      <c r="D129" s="20" t="n"/>
      <c r="E129" s="20" t="n"/>
      <c r="F129" s="20" t="n"/>
      <c r="G129" s="20" t="n"/>
      <c r="H129" s="20" t="n"/>
      <c r="I129" s="20" t="n"/>
    </row>
    <row r="130" ht="10.95" customHeight="1" s="9">
      <c r="A130" s="12" t="n">
        <v>46058</v>
      </c>
      <c r="B130" s="13" t="inlineStr">
        <is>
          <t>Payable Invoice</t>
        </is>
      </c>
      <c r="C130" s="13" t="inlineStr">
        <is>
          <t>SMART Agency - Design concepts for Oaktown Business Leader ad series</t>
        </is>
      </c>
      <c r="D130" s="13" t="inlineStr">
        <is>
          <t>SM0195</t>
        </is>
      </c>
      <c r="E130" s="14" t="n">
        <v>83333.5</v>
      </c>
      <c r="F130" s="14" t="n">
        <v>0</v>
      </c>
      <c r="G130" s="14">
        <f>(E130 - F130)</f>
        <v/>
      </c>
      <c r="H130" s="14" t="n">
        <v>100000</v>
      </c>
      <c r="I130" s="14" t="n">
        <v>16666.5</v>
      </c>
    </row>
    <row r="131" ht="10.95" customHeight="1" s="9">
      <c r="A131" s="15" t="n">
        <v>46081</v>
      </c>
      <c r="B131" s="16" t="inlineStr">
        <is>
          <t>Payable Invoice</t>
        </is>
      </c>
      <c r="C131" s="16" t="inlineStr">
        <is>
          <t>Hoyt Productions - 20-second still frame ad shown in 5 city cinemas 5 times each</t>
        </is>
      </c>
      <c r="D131" s="16" t="inlineStr">
        <is>
          <t>08-4123</t>
        </is>
      </c>
      <c r="E131" s="17" t="n">
        <v>248073</v>
      </c>
      <c r="F131" s="17" t="n">
        <v>0</v>
      </c>
      <c r="G131" s="17">
        <f>((G130 + E131) - F131)</f>
        <v/>
      </c>
      <c r="H131" s="17" t="n">
        <v>297687.5</v>
      </c>
      <c r="I131" s="17" t="n">
        <v>49614.5</v>
      </c>
    </row>
    <row r="132" ht="10.95" customHeight="1" s="9">
      <c r="A132" s="18" t="inlineStr">
        <is>
          <t>Total Advertising &amp; Marketing</t>
        </is>
      </c>
      <c r="B132" s="18" t="n"/>
      <c r="C132" s="18" t="n"/>
      <c r="D132" s="18" t="n"/>
      <c r="E132" s="19">
        <f>SUM(E130:E131)</f>
        <v/>
      </c>
      <c r="F132" s="19">
        <f>SUM(F130:F131)</f>
        <v/>
      </c>
      <c r="G132" s="19">
        <f>G131</f>
        <v/>
      </c>
      <c r="H132" s="19">
        <f>SUM(H130:H131)</f>
        <v/>
      </c>
      <c r="I132" s="19">
        <f>SUM(I130:I131)</f>
        <v/>
      </c>
    </row>
    <row r="133" ht="13.35" customHeight="1" s="9"/>
    <row r="134" ht="12.1" customFormat="1" customHeight="1" s="5">
      <c r="A134" s="20" t="inlineStr">
        <is>
          <t>Audit &amp; Accountancy fees</t>
        </is>
      </c>
      <c r="B134" s="20" t="n"/>
      <c r="C134" s="20" t="n"/>
      <c r="D134" s="20" t="n"/>
      <c r="E134" s="20" t="n"/>
      <c r="F134" s="20" t="n"/>
      <c r="G134" s="20" t="n"/>
      <c r="H134" s="20" t="n"/>
      <c r="I134" s="20" t="n"/>
    </row>
    <row r="135" ht="10.95" customHeight="1" s="9">
      <c r="A135" s="12" t="n">
        <v>46020</v>
      </c>
      <c r="B135" s="13" t="inlineStr">
        <is>
          <t>Payable Invoice</t>
        </is>
      </c>
      <c r="C135" s="13" t="inlineStr">
        <is>
          <t>Xero - Monthly subscription</t>
        </is>
      </c>
      <c r="D135" s="13" t="inlineStr">
        <is>
          <t>RPT402-1</t>
        </is>
      </c>
      <c r="E135" s="14" t="n">
        <v>2348</v>
      </c>
      <c r="F135" s="14" t="n">
        <v>0</v>
      </c>
      <c r="G135" s="14">
        <f>(E135 - F135)</f>
        <v/>
      </c>
      <c r="H135" s="14" t="n">
        <v>2817.5</v>
      </c>
      <c r="I135" s="14" t="n">
        <v>469.5</v>
      </c>
    </row>
    <row r="136" ht="10.95" customHeight="1" s="9">
      <c r="A136" s="15" t="n">
        <v>46051</v>
      </c>
      <c r="B136" s="16" t="inlineStr">
        <is>
          <t>Payable Invoice</t>
        </is>
      </c>
      <c r="C136" s="16" t="inlineStr">
        <is>
          <t>Xero - Monthly subscription</t>
        </is>
      </c>
      <c r="D136" s="16" t="inlineStr">
        <is>
          <t>RPT402-1</t>
        </is>
      </c>
      <c r="E136" s="17" t="n">
        <v>2348</v>
      </c>
      <c r="F136" s="17" t="n">
        <v>0</v>
      </c>
      <c r="G136" s="17">
        <f>((G135 + E136) - F136)</f>
        <v/>
      </c>
      <c r="H136" s="17" t="n">
        <v>2817.5</v>
      </c>
      <c r="I136" s="17" t="n">
        <v>469.5</v>
      </c>
    </row>
    <row r="137" ht="10.95" customHeight="1" s="9">
      <c r="A137" s="15" t="n">
        <v>46079</v>
      </c>
      <c r="B137" s="16" t="inlineStr">
        <is>
          <t>Payable Invoice</t>
        </is>
      </c>
      <c r="C137" s="16" t="inlineStr">
        <is>
          <t>Xero - Monthly subscription</t>
        </is>
      </c>
      <c r="D137" s="16" t="inlineStr">
        <is>
          <t>RPT402-1</t>
        </is>
      </c>
      <c r="E137" s="17" t="n">
        <v>2348</v>
      </c>
      <c r="F137" s="17" t="n">
        <v>0</v>
      </c>
      <c r="G137" s="17">
        <f>((G136 + E137) - F137)</f>
        <v/>
      </c>
      <c r="H137" s="17" t="n">
        <v>2817.5</v>
      </c>
      <c r="I137" s="17" t="n">
        <v>469.5</v>
      </c>
    </row>
    <row r="138" ht="10.95" customHeight="1" s="9">
      <c r="A138" s="18" t="inlineStr">
        <is>
          <t>Total Audit &amp; Accountancy fees</t>
        </is>
      </c>
      <c r="B138" s="18" t="n"/>
      <c r="C138" s="18" t="n"/>
      <c r="D138" s="18" t="n"/>
      <c r="E138" s="19">
        <f>SUM(E135:E137)</f>
        <v/>
      </c>
      <c r="F138" s="19">
        <f>SUM(F135:F137)</f>
        <v/>
      </c>
      <c r="G138" s="19">
        <f>G137</f>
        <v/>
      </c>
      <c r="H138" s="19">
        <f>SUM(H135:H137)</f>
        <v/>
      </c>
      <c r="I138" s="19">
        <f>SUM(I135:I137)</f>
        <v/>
      </c>
    </row>
    <row r="139" ht="13.35" customHeight="1" s="9"/>
    <row r="140" ht="12.1" customFormat="1" customHeight="1" s="5">
      <c r="A140" s="20" t="inlineStr">
        <is>
          <t>Bank Fees</t>
        </is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</row>
    <row r="141" ht="10.95" customHeight="1" s="9">
      <c r="A141" s="12" t="n">
        <v>46019</v>
      </c>
      <c r="B141" s="13" t="inlineStr">
        <is>
          <t>Spend Money</t>
        </is>
      </c>
      <c r="C141" s="13" t="inlineStr">
        <is>
          <t>Ridgeway Bank - Bank fee</t>
        </is>
      </c>
      <c r="D141" s="13" t="n"/>
      <c r="E141" s="14" t="n">
        <v>750</v>
      </c>
      <c r="F141" s="14" t="n">
        <v>0</v>
      </c>
      <c r="G141" s="14">
        <f>(E141 - F141)</f>
        <v/>
      </c>
      <c r="H141" s="14" t="n">
        <v>750</v>
      </c>
      <c r="I141" s="14" t="n">
        <v>0</v>
      </c>
    </row>
    <row r="142" ht="10.95" customHeight="1" s="9">
      <c r="A142" s="15" t="n">
        <v>46050</v>
      </c>
      <c r="B142" s="16" t="inlineStr">
        <is>
          <t>Spend Money</t>
        </is>
      </c>
      <c r="C142" s="16" t="inlineStr">
        <is>
          <t>Ridgeway Bank - Bank fee</t>
        </is>
      </c>
      <c r="D142" s="16" t="n"/>
      <c r="E142" s="17" t="n">
        <v>750</v>
      </c>
      <c r="F142" s="17" t="n">
        <v>0</v>
      </c>
      <c r="G142" s="17">
        <f>((G141 + E142) - F142)</f>
        <v/>
      </c>
      <c r="H142" s="17" t="n">
        <v>750</v>
      </c>
      <c r="I142" s="17" t="n">
        <v>0</v>
      </c>
    </row>
    <row r="143" ht="10.95" customHeight="1" s="9">
      <c r="A143" s="18" t="inlineStr">
        <is>
          <t>Total Bank Fees</t>
        </is>
      </c>
      <c r="B143" s="18" t="n"/>
      <c r="C143" s="18" t="n"/>
      <c r="D143" s="18" t="n"/>
      <c r="E143" s="19">
        <f>SUM(E141:E142)</f>
        <v/>
      </c>
      <c r="F143" s="19">
        <f>SUM(F141:F142)</f>
        <v/>
      </c>
      <c r="G143" s="19">
        <f>G142</f>
        <v/>
      </c>
      <c r="H143" s="19">
        <f>SUM(H141:H142)</f>
        <v/>
      </c>
      <c r="I143" s="19">
        <f>SUM(I141:I142)</f>
        <v/>
      </c>
    </row>
    <row r="144" ht="13.35" customHeight="1" s="9"/>
    <row r="145" ht="12.1" customFormat="1" customHeight="1" s="5">
      <c r="A145" s="8" t="inlineStr">
        <is>
          <t>Business Bank Account</t>
        </is>
      </c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 ht="10.95" customHeight="1" s="9">
      <c r="A146" s="10" t="inlineStr">
        <is>
          <t>Opening Balance</t>
        </is>
      </c>
      <c r="B146" s="10" t="n"/>
      <c r="C146" s="10" t="n"/>
      <c r="D146" s="10" t="n"/>
      <c r="E146" s="11" t="n">
        <v>0</v>
      </c>
      <c r="F146" s="11" t="n">
        <v>289946</v>
      </c>
      <c r="G146" s="11">
        <f>(E146 - F146)</f>
        <v/>
      </c>
      <c r="H146" s="11" t="n">
        <v>0</v>
      </c>
      <c r="I146" s="11" t="n">
        <v>0</v>
      </c>
    </row>
    <row r="147" ht="10.95" customHeight="1" s="9">
      <c r="A147" s="12" t="n">
        <v>45771</v>
      </c>
      <c r="B147" s="13" t="inlineStr">
        <is>
          <t>Receivable Payment</t>
        </is>
      </c>
      <c r="C147" s="13" t="inlineStr">
        <is>
          <t>Payment: Ridgeway University</t>
        </is>
      </c>
      <c r="D147" s="13" t="inlineStr">
        <is>
          <t>INV-0002</t>
        </is>
      </c>
      <c r="E147" s="14" t="n">
        <v>25000</v>
      </c>
      <c r="F147" s="14" t="n">
        <v>0</v>
      </c>
      <c r="G147" s="14">
        <f>((G146 + E147) - F147)</f>
        <v/>
      </c>
      <c r="H147" s="14" t="n">
        <v>25000</v>
      </c>
      <c r="I147" s="14" t="n">
        <v>0</v>
      </c>
    </row>
    <row r="148" ht="10.95" customHeight="1" s="9">
      <c r="A148" s="15" t="n">
        <v>45773</v>
      </c>
      <c r="B148" s="16" t="inlineStr">
        <is>
          <t>Payable Payment</t>
        </is>
      </c>
      <c r="C148" s="16" t="inlineStr">
        <is>
          <t>Payment: PowerDirect</t>
        </is>
      </c>
      <c r="D148" s="16" t="inlineStr">
        <is>
          <t>RPT445-1</t>
        </is>
      </c>
      <c r="E148" s="17" t="n">
        <v>0</v>
      </c>
      <c r="F148" s="17" t="n">
        <v>4850</v>
      </c>
      <c r="G148" s="17">
        <f>((G147 + E148) - F148)</f>
        <v/>
      </c>
      <c r="H148" s="17" t="n">
        <v>-4850</v>
      </c>
      <c r="I148" s="17" t="n">
        <v>0</v>
      </c>
    </row>
    <row r="149" ht="10.95" customHeight="1" s="9">
      <c r="A149" s="15" t="n">
        <v>45802</v>
      </c>
      <c r="B149" s="16" t="inlineStr">
        <is>
          <t>Receivable Payment</t>
        </is>
      </c>
      <c r="C149" s="16" t="inlineStr">
        <is>
          <t>Payment: Ridgeway University</t>
        </is>
      </c>
      <c r="D149" s="16" t="inlineStr">
        <is>
          <t>INV-0003</t>
        </is>
      </c>
      <c r="E149" s="17" t="n">
        <v>25000</v>
      </c>
      <c r="F149" s="17" t="n">
        <v>0</v>
      </c>
      <c r="G149" s="17">
        <f>((G148 + E149) - F149)</f>
        <v/>
      </c>
      <c r="H149" s="17" t="n">
        <v>25000</v>
      </c>
      <c r="I149" s="17" t="n">
        <v>0</v>
      </c>
    </row>
    <row r="150" ht="10.95" customHeight="1" s="9">
      <c r="A150" s="15" t="n">
        <v>45804</v>
      </c>
      <c r="B150" s="16" t="inlineStr">
        <is>
          <t>Payable Payment</t>
        </is>
      </c>
      <c r="C150" s="16" t="inlineStr">
        <is>
          <t>Payment: PowerDirect</t>
        </is>
      </c>
      <c r="D150" s="16" t="inlineStr">
        <is>
          <t>DD</t>
        </is>
      </c>
      <c r="E150" s="17" t="n">
        <v>0</v>
      </c>
      <c r="F150" s="17" t="n">
        <v>4600</v>
      </c>
      <c r="G150" s="17">
        <f>((G149 + E150) - F150)</f>
        <v/>
      </c>
      <c r="H150" s="17" t="n">
        <v>-4600</v>
      </c>
      <c r="I150" s="17" t="n">
        <v>0</v>
      </c>
    </row>
    <row r="151" ht="10.95" customHeight="1" s="9">
      <c r="A151" s="15" t="n">
        <v>45832</v>
      </c>
      <c r="B151" s="16" t="inlineStr">
        <is>
          <t>Receivable Payment</t>
        </is>
      </c>
      <c r="C151" s="16" t="inlineStr">
        <is>
          <t>Payment: Ridgeway University</t>
        </is>
      </c>
      <c r="D151" s="16" t="inlineStr">
        <is>
          <t>INV-0004</t>
        </is>
      </c>
      <c r="E151" s="17" t="n">
        <v>50000</v>
      </c>
      <c r="F151" s="17" t="n">
        <v>0</v>
      </c>
      <c r="G151" s="17">
        <f>((G150 + E151) - F151)</f>
        <v/>
      </c>
      <c r="H151" s="17" t="n">
        <v>50000</v>
      </c>
      <c r="I151" s="17" t="n">
        <v>0</v>
      </c>
    </row>
    <row r="152" ht="10.95" customHeight="1" s="9">
      <c r="A152" s="15" t="n">
        <v>45834</v>
      </c>
      <c r="B152" s="16" t="inlineStr">
        <is>
          <t>Payable Payment</t>
        </is>
      </c>
      <c r="C152" s="16" t="inlineStr">
        <is>
          <t>Payment: PowerDirect</t>
        </is>
      </c>
      <c r="D152" s="16" t="inlineStr">
        <is>
          <t>DD</t>
        </is>
      </c>
      <c r="E152" s="17" t="n">
        <v>0</v>
      </c>
      <c r="F152" s="17" t="n">
        <v>4450</v>
      </c>
      <c r="G152" s="17">
        <f>((G151 + E152) - F152)</f>
        <v/>
      </c>
      <c r="H152" s="17" t="n">
        <v>-4450</v>
      </c>
      <c r="I152" s="17" t="n">
        <v>0</v>
      </c>
    </row>
    <row r="153" ht="10.95" customHeight="1" s="9">
      <c r="A153" s="15" t="n">
        <v>45863</v>
      </c>
      <c r="B153" s="16" t="inlineStr">
        <is>
          <t>Receivable Payment</t>
        </is>
      </c>
      <c r="C153" s="16" t="inlineStr">
        <is>
          <t>Payment: Ridgeway University</t>
        </is>
      </c>
      <c r="D153" s="16" t="inlineStr">
        <is>
          <t>INV-0005</t>
        </is>
      </c>
      <c r="E153" s="17" t="n">
        <v>25000</v>
      </c>
      <c r="F153" s="17" t="n">
        <v>0</v>
      </c>
      <c r="G153" s="17">
        <f>((G152 + E153) - F153)</f>
        <v/>
      </c>
      <c r="H153" s="17" t="n">
        <v>25000</v>
      </c>
      <c r="I153" s="17" t="n">
        <v>0</v>
      </c>
    </row>
    <row r="154" ht="10.95" customHeight="1" s="9">
      <c r="A154" s="15" t="n">
        <v>45865</v>
      </c>
      <c r="B154" s="16" t="inlineStr">
        <is>
          <t>Payable Payment</t>
        </is>
      </c>
      <c r="C154" s="16" t="inlineStr">
        <is>
          <t>Payment: PowerDirect</t>
        </is>
      </c>
      <c r="D154" s="16" t="inlineStr">
        <is>
          <t>DD</t>
        </is>
      </c>
      <c r="E154" s="17" t="n">
        <v>0</v>
      </c>
      <c r="F154" s="17" t="n">
        <v>4550</v>
      </c>
      <c r="G154" s="17">
        <f>((G153 + E154) - F154)</f>
        <v/>
      </c>
      <c r="H154" s="17" t="n">
        <v>-4550</v>
      </c>
      <c r="I154" s="17" t="n">
        <v>0</v>
      </c>
    </row>
    <row r="155" ht="10.95" customHeight="1" s="9">
      <c r="A155" s="15" t="n">
        <v>45894</v>
      </c>
      <c r="B155" s="16" t="inlineStr">
        <is>
          <t>Receivable Payment</t>
        </is>
      </c>
      <c r="C155" s="16" t="inlineStr">
        <is>
          <t>Payment: Ridgeway University</t>
        </is>
      </c>
      <c r="D155" s="16" t="inlineStr">
        <is>
          <t>INV-0006</t>
        </is>
      </c>
      <c r="E155" s="17" t="n">
        <v>25000</v>
      </c>
      <c r="F155" s="17" t="n">
        <v>0</v>
      </c>
      <c r="G155" s="17">
        <f>((G154 + E155) - F155)</f>
        <v/>
      </c>
      <c r="H155" s="17" t="n">
        <v>25000</v>
      </c>
      <c r="I155" s="17" t="n">
        <v>0</v>
      </c>
    </row>
    <row r="156" ht="10.95" customHeight="1" s="9">
      <c r="A156" s="15" t="n">
        <v>45896</v>
      </c>
      <c r="B156" s="16" t="inlineStr">
        <is>
          <t>Payable Payment</t>
        </is>
      </c>
      <c r="C156" s="16" t="inlineStr">
        <is>
          <t>Payment: PowerDirect</t>
        </is>
      </c>
      <c r="D156" s="16" t="inlineStr">
        <is>
          <t>DD</t>
        </is>
      </c>
      <c r="E156" s="17" t="n">
        <v>0</v>
      </c>
      <c r="F156" s="17" t="n">
        <v>4812.5</v>
      </c>
      <c r="G156" s="17">
        <f>((G155 + E156) - F156)</f>
        <v/>
      </c>
      <c r="H156" s="17" t="n">
        <v>-4812.5</v>
      </c>
      <c r="I156" s="17" t="n">
        <v>0</v>
      </c>
    </row>
    <row r="157" ht="10.95" customHeight="1" s="9">
      <c r="A157" s="15" t="n">
        <v>45924</v>
      </c>
      <c r="B157" s="16" t="inlineStr">
        <is>
          <t>Receivable Payment</t>
        </is>
      </c>
      <c r="C157" s="16" t="inlineStr">
        <is>
          <t>Payment: Ridgeway University</t>
        </is>
      </c>
      <c r="D157" s="16" t="inlineStr">
        <is>
          <t>INV-0007</t>
        </is>
      </c>
      <c r="E157" s="17" t="n">
        <v>75000</v>
      </c>
      <c r="F157" s="17" t="n">
        <v>0</v>
      </c>
      <c r="G157" s="17">
        <f>((G156 + E157) - F157)</f>
        <v/>
      </c>
      <c r="H157" s="17" t="n">
        <v>75000</v>
      </c>
      <c r="I157" s="17" t="n">
        <v>0</v>
      </c>
    </row>
    <row r="158" ht="10.95" customHeight="1" s="9">
      <c r="A158" s="15" t="n">
        <v>45926</v>
      </c>
      <c r="B158" s="16" t="inlineStr">
        <is>
          <t>Payable Payment</t>
        </is>
      </c>
      <c r="C158" s="16" t="inlineStr">
        <is>
          <t>Payment: PowerDirect</t>
        </is>
      </c>
      <c r="D158" s="16" t="inlineStr">
        <is>
          <t>DD</t>
        </is>
      </c>
      <c r="E158" s="17" t="n">
        <v>0</v>
      </c>
      <c r="F158" s="17" t="n">
        <v>5030</v>
      </c>
      <c r="G158" s="17">
        <f>((G157 + E158) - F158)</f>
        <v/>
      </c>
      <c r="H158" s="17" t="n">
        <v>-5030</v>
      </c>
      <c r="I158" s="17" t="n">
        <v>0</v>
      </c>
    </row>
    <row r="159" ht="10.95" customHeight="1" s="9">
      <c r="A159" s="15" t="n">
        <v>45955</v>
      </c>
      <c r="B159" s="16" t="inlineStr">
        <is>
          <t>Receivable Payment</t>
        </is>
      </c>
      <c r="C159" s="16" t="inlineStr">
        <is>
          <t>Payment: Ridgeway University</t>
        </is>
      </c>
      <c r="D159" s="16" t="inlineStr">
        <is>
          <t>INV-0008</t>
        </is>
      </c>
      <c r="E159" s="17" t="n">
        <v>25000</v>
      </c>
      <c r="F159" s="17" t="n">
        <v>0</v>
      </c>
      <c r="G159" s="17">
        <f>((G158 + E159) - F159)</f>
        <v/>
      </c>
      <c r="H159" s="17" t="n">
        <v>25000</v>
      </c>
      <c r="I159" s="17" t="n">
        <v>0</v>
      </c>
    </row>
    <row r="160" ht="10.95" customHeight="1" s="9">
      <c r="A160" s="15" t="n">
        <v>45957</v>
      </c>
      <c r="B160" s="16" t="inlineStr">
        <is>
          <t>Payable Payment</t>
        </is>
      </c>
      <c r="C160" s="16" t="inlineStr">
        <is>
          <t>Payment: PowerDirect</t>
        </is>
      </c>
      <c r="D160" s="16" t="inlineStr">
        <is>
          <t>DD</t>
        </is>
      </c>
      <c r="E160" s="17" t="n">
        <v>0</v>
      </c>
      <c r="F160" s="17" t="n">
        <v>5287.5</v>
      </c>
      <c r="G160" s="17">
        <f>((G159 + E160) - F160)</f>
        <v/>
      </c>
      <c r="H160" s="17" t="n">
        <v>-5287.5</v>
      </c>
      <c r="I160" s="17" t="n">
        <v>0</v>
      </c>
    </row>
    <row r="161" ht="10.95" customHeight="1" s="9">
      <c r="A161" s="15" t="n">
        <v>45985</v>
      </c>
      <c r="B161" s="16" t="inlineStr">
        <is>
          <t>Receivable Payment</t>
        </is>
      </c>
      <c r="C161" s="16" t="inlineStr">
        <is>
          <t>Payment: Ridgeway University</t>
        </is>
      </c>
      <c r="D161" s="16" t="inlineStr">
        <is>
          <t>INV-0009</t>
        </is>
      </c>
      <c r="E161" s="17" t="n">
        <v>60000</v>
      </c>
      <c r="F161" s="17" t="n">
        <v>0</v>
      </c>
      <c r="G161" s="17">
        <f>((G160 + E161) - F161)</f>
        <v/>
      </c>
      <c r="H161" s="17" t="n">
        <v>60000</v>
      </c>
      <c r="I161" s="17" t="n">
        <v>0</v>
      </c>
    </row>
    <row r="162" ht="10.95" customHeight="1" s="9">
      <c r="A162" s="15" t="n">
        <v>45987</v>
      </c>
      <c r="B162" s="16" t="inlineStr">
        <is>
          <t>Payable Payment</t>
        </is>
      </c>
      <c r="C162" s="16" t="inlineStr">
        <is>
          <t>Payment: PowerDirect</t>
        </is>
      </c>
      <c r="D162" s="16" t="inlineStr">
        <is>
          <t>DD</t>
        </is>
      </c>
      <c r="E162" s="17" t="n">
        <v>0</v>
      </c>
      <c r="F162" s="17" t="n">
        <v>5325</v>
      </c>
      <c r="G162" s="17">
        <f>((G161 + E162) - F162)</f>
        <v/>
      </c>
      <c r="H162" s="17" t="n">
        <v>-5325</v>
      </c>
      <c r="I162" s="17" t="n">
        <v>0</v>
      </c>
    </row>
    <row r="163" ht="10.95" customHeight="1" s="9">
      <c r="A163" s="15" t="n">
        <v>46016</v>
      </c>
      <c r="B163" s="16" t="inlineStr">
        <is>
          <t>Receivable Payment</t>
        </is>
      </c>
      <c r="C163" s="16" t="inlineStr">
        <is>
          <t>Payment: Ridgeway University</t>
        </is>
      </c>
      <c r="D163" s="16" t="inlineStr">
        <is>
          <t>INV-0010</t>
        </is>
      </c>
      <c r="E163" s="17" t="n">
        <v>25000</v>
      </c>
      <c r="F163" s="17" t="n">
        <v>0</v>
      </c>
      <c r="G163" s="17">
        <f>((G162 + E163) - F163)</f>
        <v/>
      </c>
      <c r="H163" s="17" t="n">
        <v>25000</v>
      </c>
      <c r="I163" s="17" t="n">
        <v>0</v>
      </c>
    </row>
    <row r="164" ht="10.95" customHeight="1" s="9">
      <c r="A164" s="15" t="n">
        <v>46018</v>
      </c>
      <c r="B164" s="16" t="inlineStr">
        <is>
          <t>Payable Payment</t>
        </is>
      </c>
      <c r="C164" s="16" t="inlineStr">
        <is>
          <t>Payment: PowerDirect</t>
        </is>
      </c>
      <c r="D164" s="16" t="inlineStr">
        <is>
          <t>DD</t>
        </is>
      </c>
      <c r="E164" s="17" t="n">
        <v>0</v>
      </c>
      <c r="F164" s="17" t="n">
        <v>5954</v>
      </c>
      <c r="G164" s="17">
        <f>((G163 + E164) - F164)</f>
        <v/>
      </c>
      <c r="H164" s="17" t="n">
        <v>-5954</v>
      </c>
      <c r="I164" s="17" t="n">
        <v>0</v>
      </c>
    </row>
    <row r="165" ht="10.95" customHeight="1" s="9">
      <c r="A165" s="15" t="n">
        <v>46019</v>
      </c>
      <c r="B165" s="16" t="inlineStr">
        <is>
          <t>Spend Money</t>
        </is>
      </c>
      <c r="C165" s="16" t="inlineStr">
        <is>
          <t>Ridgeway Bank</t>
        </is>
      </c>
      <c r="D165" s="16" t="n"/>
      <c r="E165" s="17" t="n">
        <v>0</v>
      </c>
      <c r="F165" s="17" t="n">
        <v>750</v>
      </c>
      <c r="G165" s="17">
        <f>((G164 + E165) - F165)</f>
        <v/>
      </c>
      <c r="H165" s="17" t="n">
        <v>-750</v>
      </c>
      <c r="I165" s="17" t="n">
        <v>0</v>
      </c>
    </row>
    <row r="166" ht="10.95" customHeight="1" s="9">
      <c r="A166" s="15" t="n">
        <v>46020</v>
      </c>
      <c r="B166" s="16" t="inlineStr">
        <is>
          <t>Payable Payment</t>
        </is>
      </c>
      <c r="C166" s="16" t="inlineStr">
        <is>
          <t>Payment: Truxton Property Management</t>
        </is>
      </c>
      <c r="D166" s="16" t="inlineStr">
        <is>
          <t>FP089876</t>
        </is>
      </c>
      <c r="E166" s="17" t="n">
        <v>0</v>
      </c>
      <c r="F166" s="17" t="n">
        <v>59062.5</v>
      </c>
      <c r="G166" s="17">
        <f>((G165 + E166) - F166)</f>
        <v/>
      </c>
      <c r="H166" s="17" t="n">
        <v>-59062.5</v>
      </c>
      <c r="I166" s="17" t="n">
        <v>0</v>
      </c>
    </row>
    <row r="167" ht="10.95" customHeight="1" s="9">
      <c r="A167" s="15" t="n">
        <v>46020</v>
      </c>
      <c r="B167" s="16" t="inlineStr">
        <is>
          <t>Payable Payment</t>
        </is>
      </c>
      <c r="C167" s="16" t="inlineStr">
        <is>
          <t>Payment: PC Complete</t>
        </is>
      </c>
      <c r="D167" s="16" t="inlineStr">
        <is>
          <t>FP089876</t>
        </is>
      </c>
      <c r="E167" s="17" t="n">
        <v>0</v>
      </c>
      <c r="F167" s="17" t="n">
        <v>95000</v>
      </c>
      <c r="G167" s="17">
        <f>((G166 + E167) - F167)</f>
        <v/>
      </c>
      <c r="H167" s="17" t="n">
        <v>-95000</v>
      </c>
      <c r="I167" s="17" t="n">
        <v>0</v>
      </c>
    </row>
    <row r="168" ht="10.95" customHeight="1" s="9">
      <c r="A168" s="15" t="n">
        <v>46020</v>
      </c>
      <c r="B168" s="16" t="inlineStr">
        <is>
          <t>Spend Money</t>
        </is>
      </c>
      <c r="C168" s="16" t="inlineStr">
        <is>
          <t>Office Supplies Company</t>
        </is>
      </c>
      <c r="D168" s="16" t="inlineStr">
        <is>
          <t>Eft</t>
        </is>
      </c>
      <c r="E168" s="17" t="n">
        <v>0</v>
      </c>
      <c r="F168" s="17" t="n">
        <v>1085.5</v>
      </c>
      <c r="G168" s="17">
        <f>((G167 + E168) - F168)</f>
        <v/>
      </c>
      <c r="H168" s="17" t="n">
        <v>-1085.5</v>
      </c>
      <c r="I168" s="17" t="n">
        <v>0</v>
      </c>
    </row>
    <row r="169" ht="10.95" customHeight="1" s="9">
      <c r="A169" s="15" t="n">
        <v>46020</v>
      </c>
      <c r="B169" s="16" t="inlineStr">
        <is>
          <t>Payable Payment</t>
        </is>
      </c>
      <c r="C169" s="16" t="inlineStr">
        <is>
          <t>Payment: Xero</t>
        </is>
      </c>
      <c r="D169" s="16" t="inlineStr">
        <is>
          <t>RPT402-1</t>
        </is>
      </c>
      <c r="E169" s="17" t="n">
        <v>0</v>
      </c>
      <c r="F169" s="17" t="n">
        <v>2817.5</v>
      </c>
      <c r="G169" s="17">
        <f>((G168 + E169) - F169)</f>
        <v/>
      </c>
      <c r="H169" s="17" t="n">
        <v>-2817.5</v>
      </c>
      <c r="I169" s="17" t="n">
        <v>0</v>
      </c>
    </row>
    <row r="170" ht="10.95" customHeight="1" s="9">
      <c r="A170" s="15" t="n">
        <v>46020</v>
      </c>
      <c r="B170" s="16" t="inlineStr">
        <is>
          <t>Payable Payment</t>
        </is>
      </c>
      <c r="C170" s="16" t="inlineStr">
        <is>
          <t>Payment: Net Connect</t>
        </is>
      </c>
      <c r="D170" s="16" t="inlineStr">
        <is>
          <t>FP089876</t>
        </is>
      </c>
      <c r="E170" s="17" t="n">
        <v>0</v>
      </c>
      <c r="F170" s="17" t="n">
        <v>2246</v>
      </c>
      <c r="G170" s="17">
        <f>((G169 + E170) - F170)</f>
        <v/>
      </c>
      <c r="H170" s="17" t="n">
        <v>-2246</v>
      </c>
      <c r="I170" s="17" t="n">
        <v>0</v>
      </c>
    </row>
    <row r="171" ht="10.95" customHeight="1" s="9">
      <c r="A171" s="15" t="n">
        <v>46025</v>
      </c>
      <c r="B171" s="16" t="inlineStr">
        <is>
          <t>Receivable Payment</t>
        </is>
      </c>
      <c r="C171" s="16" t="inlineStr">
        <is>
          <t>Payment: Hamilton Smith Ltd</t>
        </is>
      </c>
      <c r="D171" s="16" t="inlineStr">
        <is>
          <t>0012</t>
        </is>
      </c>
      <c r="E171" s="17" t="n">
        <v>27062.5</v>
      </c>
      <c r="F171" s="17" t="n">
        <v>0</v>
      </c>
      <c r="G171" s="17">
        <f>((G170 + E171) - F171)</f>
        <v/>
      </c>
      <c r="H171" s="17" t="n">
        <v>27062.5</v>
      </c>
      <c r="I171" s="17" t="n">
        <v>0</v>
      </c>
    </row>
    <row r="172" ht="10.95" customHeight="1" s="9">
      <c r="A172" s="15" t="n">
        <v>46025</v>
      </c>
      <c r="B172" s="16" t="inlineStr">
        <is>
          <t>Receivable Payment</t>
        </is>
      </c>
      <c r="C172" s="16" t="inlineStr">
        <is>
          <t>Payment: Port &amp; Philip Freight</t>
        </is>
      </c>
      <c r="D172" s="16" t="inlineStr">
        <is>
          <t>0014</t>
        </is>
      </c>
      <c r="E172" s="17" t="n">
        <v>27062.5</v>
      </c>
      <c r="F172" s="17" t="n">
        <v>0</v>
      </c>
      <c r="G172" s="17">
        <f>((G171 + E172) - F172)</f>
        <v/>
      </c>
      <c r="H172" s="17" t="n">
        <v>27062.5</v>
      </c>
      <c r="I172" s="17" t="n">
        <v>0</v>
      </c>
    </row>
    <row r="173" ht="10.95" customHeight="1" s="9">
      <c r="A173" s="15" t="n">
        <v>46025</v>
      </c>
      <c r="B173" s="16" t="inlineStr">
        <is>
          <t>Receivable Payment</t>
        </is>
      </c>
      <c r="C173" s="16" t="inlineStr">
        <is>
          <t>Payment: Young Bros Transport</t>
        </is>
      </c>
      <c r="D173" s="16" t="inlineStr">
        <is>
          <t>0031</t>
        </is>
      </c>
      <c r="E173" s="17" t="n">
        <v>27062.5</v>
      </c>
      <c r="F173" s="17" t="n">
        <v>0</v>
      </c>
      <c r="G173" s="17">
        <f>((G172 + E173) - F173)</f>
        <v/>
      </c>
      <c r="H173" s="17" t="n">
        <v>27062.5</v>
      </c>
      <c r="I173" s="17" t="n">
        <v>0</v>
      </c>
    </row>
    <row r="174" ht="10.95" customHeight="1" s="9">
      <c r="A174" s="15" t="n">
        <v>46025</v>
      </c>
      <c r="B174" s="16" t="inlineStr">
        <is>
          <t>Receivable Payment</t>
        </is>
      </c>
      <c r="C174" s="16" t="inlineStr">
        <is>
          <t>Payment: Rex Media Group</t>
        </is>
      </c>
      <c r="D174" s="16" t="inlineStr">
        <is>
          <t>0015</t>
        </is>
      </c>
      <c r="E174" s="17" t="n">
        <v>27062.5</v>
      </c>
      <c r="F174" s="17" t="n">
        <v>0</v>
      </c>
      <c r="G174" s="17">
        <f>((G173 + E174) - F174)</f>
        <v/>
      </c>
      <c r="H174" s="17" t="n">
        <v>27062.5</v>
      </c>
      <c r="I174" s="17" t="n">
        <v>0</v>
      </c>
    </row>
    <row r="175" ht="10.95" customHeight="1" s="9">
      <c r="A175" s="15" t="n">
        <v>46028</v>
      </c>
      <c r="B175" s="16" t="inlineStr">
        <is>
          <t>Spend Money</t>
        </is>
      </c>
      <c r="C175" s="16" t="inlineStr">
        <is>
          <t>Woolworths Market</t>
        </is>
      </c>
      <c r="D175" s="16" t="n"/>
      <c r="E175" s="17" t="n">
        <v>0</v>
      </c>
      <c r="F175" s="17" t="n">
        <v>3260</v>
      </c>
      <c r="G175" s="17">
        <f>((G174 + E175) - F175)</f>
        <v/>
      </c>
      <c r="H175" s="17" t="n">
        <v>-3260</v>
      </c>
      <c r="I175" s="17" t="n">
        <v>0</v>
      </c>
    </row>
    <row r="176" ht="10.95" customHeight="1" s="9">
      <c r="A176" s="15" t="n">
        <v>46029</v>
      </c>
      <c r="B176" s="16" t="inlineStr">
        <is>
          <t>Spend Money</t>
        </is>
      </c>
      <c r="C176" s="16" t="inlineStr">
        <is>
          <t>Berry Brew</t>
        </is>
      </c>
      <c r="D176" s="16" t="n"/>
      <c r="E176" s="17" t="n">
        <v>0</v>
      </c>
      <c r="F176" s="17" t="n">
        <v>780</v>
      </c>
      <c r="G176" s="17">
        <f>((G175 + E176) - F176)</f>
        <v/>
      </c>
      <c r="H176" s="17" t="n">
        <v>-780</v>
      </c>
      <c r="I176" s="17" t="n">
        <v>0</v>
      </c>
    </row>
    <row r="177" ht="10.95" customHeight="1" s="9">
      <c r="A177" s="15" t="n">
        <v>46036</v>
      </c>
      <c r="B177" s="16" t="inlineStr">
        <is>
          <t>Receivable Payment</t>
        </is>
      </c>
      <c r="C177" s="16" t="inlineStr">
        <is>
          <t>Payment: Bank West</t>
        </is>
      </c>
      <c r="D177" s="16" t="inlineStr">
        <is>
          <t>0019</t>
        </is>
      </c>
      <c r="E177" s="17" t="n">
        <v>75000</v>
      </c>
      <c r="F177" s="17" t="n">
        <v>0</v>
      </c>
      <c r="G177" s="17">
        <f>((G176 + E177) - F177)</f>
        <v/>
      </c>
      <c r="H177" s="17" t="n">
        <v>75000</v>
      </c>
      <c r="I177" s="17" t="n">
        <v>0</v>
      </c>
    </row>
    <row r="178" ht="10.95" customHeight="1" s="9">
      <c r="A178" s="15" t="n">
        <v>46038</v>
      </c>
      <c r="B178" s="16" t="inlineStr">
        <is>
          <t>Spend Money</t>
        </is>
      </c>
      <c r="C178" s="16" t="inlineStr">
        <is>
          <t>Melrose Parking</t>
        </is>
      </c>
      <c r="D178" s="16" t="inlineStr">
        <is>
          <t>Chq 409</t>
        </is>
      </c>
      <c r="E178" s="17" t="n">
        <v>0</v>
      </c>
      <c r="F178" s="17" t="n">
        <v>7425</v>
      </c>
      <c r="G178" s="17">
        <f>((G177 + E178) - F178)</f>
        <v/>
      </c>
      <c r="H178" s="17" t="n">
        <v>-7425</v>
      </c>
      <c r="I178" s="17" t="n">
        <v>0</v>
      </c>
    </row>
    <row r="179" ht="10.95" customHeight="1" s="9">
      <c r="A179" s="15" t="n">
        <v>46043</v>
      </c>
      <c r="B179" s="16" t="inlineStr">
        <is>
          <t>Spend Money</t>
        </is>
      </c>
      <c r="C179" s="16" t="inlineStr">
        <is>
          <t>Espresso 31</t>
        </is>
      </c>
      <c r="D179" s="16" t="n"/>
      <c r="E179" s="17" t="n">
        <v>0</v>
      </c>
      <c r="F179" s="17" t="n">
        <v>800</v>
      </c>
      <c r="G179" s="17">
        <f>((G178 + E179) - F179)</f>
        <v/>
      </c>
      <c r="H179" s="17" t="n">
        <v>-800</v>
      </c>
      <c r="I179" s="17" t="n">
        <v>0</v>
      </c>
    </row>
    <row r="180" ht="10.95" customHeight="1" s="9">
      <c r="A180" s="15" t="n">
        <v>46046</v>
      </c>
      <c r="B180" s="16" t="inlineStr">
        <is>
          <t>Spend Money</t>
        </is>
      </c>
      <c r="C180" s="16" t="inlineStr">
        <is>
          <t>Brunswick Petals</t>
        </is>
      </c>
      <c r="D180" s="16" t="n"/>
      <c r="E180" s="17" t="n">
        <v>0</v>
      </c>
      <c r="F180" s="17" t="n">
        <v>2500</v>
      </c>
      <c r="G180" s="17">
        <f>((G179 + E180) - F180)</f>
        <v/>
      </c>
      <c r="H180" s="17" t="n">
        <v>-2500</v>
      </c>
      <c r="I180" s="17" t="n">
        <v>0</v>
      </c>
    </row>
    <row r="181" ht="10.95" customHeight="1" s="9">
      <c r="A181" s="15" t="n">
        <v>46047</v>
      </c>
      <c r="B181" s="16" t="inlineStr">
        <is>
          <t>Spend Money</t>
        </is>
      </c>
      <c r="C181" s="16" t="inlineStr">
        <is>
          <t>Mobil</t>
        </is>
      </c>
      <c r="D181" s="16" t="n"/>
      <c r="E181" s="17" t="n">
        <v>0</v>
      </c>
      <c r="F181" s="17" t="n">
        <v>3540</v>
      </c>
      <c r="G181" s="17">
        <f>((G180 + E181) - F181)</f>
        <v/>
      </c>
      <c r="H181" s="17" t="n">
        <v>-3540</v>
      </c>
      <c r="I181" s="17" t="n">
        <v>0</v>
      </c>
    </row>
    <row r="182" ht="10.95" customHeight="1" s="9">
      <c r="A182" s="15" t="n">
        <v>46047</v>
      </c>
      <c r="B182" s="16" t="inlineStr">
        <is>
          <t>Receivable Payment</t>
        </is>
      </c>
      <c r="C182" s="16" t="inlineStr">
        <is>
          <t>Payment: Ridgeway University</t>
        </is>
      </c>
      <c r="D182" s="16" t="inlineStr">
        <is>
          <t>INV-0011</t>
        </is>
      </c>
      <c r="E182" s="17" t="n">
        <v>125000</v>
      </c>
      <c r="F182" s="17" t="n">
        <v>0</v>
      </c>
      <c r="G182" s="17">
        <f>((G181 + E182) - F182)</f>
        <v/>
      </c>
      <c r="H182" s="17" t="n">
        <v>125000</v>
      </c>
      <c r="I182" s="17" t="n">
        <v>0</v>
      </c>
    </row>
    <row r="183" ht="10.95" customHeight="1" s="9">
      <c r="A183" s="15" t="n">
        <v>46050</v>
      </c>
      <c r="B183" s="16" t="inlineStr">
        <is>
          <t>Spend Money</t>
        </is>
      </c>
      <c r="C183" s="16" t="inlineStr">
        <is>
          <t>Ridgeway Bank</t>
        </is>
      </c>
      <c r="D183" s="16" t="n"/>
      <c r="E183" s="17" t="n">
        <v>0</v>
      </c>
      <c r="F183" s="17" t="n">
        <v>750</v>
      </c>
      <c r="G183" s="17">
        <f>((G182 + E183) - F183)</f>
        <v/>
      </c>
      <c r="H183" s="17" t="n">
        <v>-750</v>
      </c>
      <c r="I183" s="17" t="n">
        <v>0</v>
      </c>
    </row>
    <row r="184" ht="10.95" customHeight="1" s="9">
      <c r="A184" s="15" t="n">
        <v>46050</v>
      </c>
      <c r="B184" s="16" t="inlineStr">
        <is>
          <t>Payable Payment</t>
        </is>
      </c>
      <c r="C184" s="16" t="inlineStr">
        <is>
          <t>Payment: PC Complete</t>
        </is>
      </c>
      <c r="D184" s="16" t="inlineStr">
        <is>
          <t>720-2</t>
        </is>
      </c>
      <c r="E184" s="17" t="n">
        <v>0</v>
      </c>
      <c r="F184" s="17" t="n">
        <v>73194</v>
      </c>
      <c r="G184" s="17">
        <f>((G183 + E184) - F184)</f>
        <v/>
      </c>
      <c r="H184" s="17" t="n">
        <v>-73194</v>
      </c>
      <c r="I184" s="17" t="n">
        <v>0</v>
      </c>
    </row>
    <row r="185" ht="10.95" customHeight="1" s="9">
      <c r="A185" s="15" t="n">
        <v>46050</v>
      </c>
      <c r="B185" s="16" t="inlineStr">
        <is>
          <t>Receivable Payment</t>
        </is>
      </c>
      <c r="C185" s="16" t="inlineStr">
        <is>
          <t>Payment: City Agency</t>
        </is>
      </c>
      <c r="D185" s="16" t="inlineStr">
        <is>
          <t>INV-0018</t>
        </is>
      </c>
      <c r="E185" s="17" t="n">
        <v>16490</v>
      </c>
      <c r="F185" s="17" t="n">
        <v>0</v>
      </c>
      <c r="G185" s="17">
        <f>((G184 + E185) - F185)</f>
        <v/>
      </c>
      <c r="H185" s="17" t="n">
        <v>16490</v>
      </c>
      <c r="I185" s="17" t="n">
        <v>0</v>
      </c>
    </row>
    <row r="186" ht="10.95" customHeight="1" s="9">
      <c r="A186" s="15" t="n">
        <v>46050</v>
      </c>
      <c r="B186" s="16" t="inlineStr">
        <is>
          <t>Payable Payment</t>
        </is>
      </c>
      <c r="C186" s="16" t="inlineStr">
        <is>
          <t>Payment: Truxton Property Management</t>
        </is>
      </c>
      <c r="D186" s="16" t="inlineStr">
        <is>
          <t>RPT469-1</t>
        </is>
      </c>
      <c r="E186" s="17" t="n">
        <v>0</v>
      </c>
      <c r="F186" s="17" t="n">
        <v>59062.5</v>
      </c>
      <c r="G186" s="17">
        <f>((G185 + E186) - F186)</f>
        <v/>
      </c>
      <c r="H186" s="17" t="n">
        <v>-59062.5</v>
      </c>
      <c r="I186" s="17" t="n">
        <v>0</v>
      </c>
    </row>
    <row r="187" ht="10.95" customHeight="1" s="9">
      <c r="A187" s="15" t="n">
        <v>46077</v>
      </c>
      <c r="B187" s="16" t="inlineStr">
        <is>
          <t>Payable Payment</t>
        </is>
      </c>
      <c r="C187" s="16" t="inlineStr">
        <is>
          <t>Payment: Net Connect</t>
        </is>
      </c>
      <c r="D187" s="16" t="inlineStr">
        <is>
          <t>RPT489-1</t>
        </is>
      </c>
      <c r="E187" s="17" t="n">
        <v>0</v>
      </c>
      <c r="F187" s="17" t="n">
        <v>2341</v>
      </c>
      <c r="G187" s="17">
        <f>((G186 + E187) - F187)</f>
        <v/>
      </c>
      <c r="H187" s="17" t="n">
        <v>-2341</v>
      </c>
      <c r="I187" s="17" t="n">
        <v>0</v>
      </c>
    </row>
    <row r="188" ht="10.95" customHeight="1" s="9">
      <c r="A188" s="15" t="n">
        <v>46077</v>
      </c>
      <c r="B188" s="16" t="inlineStr">
        <is>
          <t>Payable Payment</t>
        </is>
      </c>
      <c r="C188" s="16" t="inlineStr">
        <is>
          <t>Payment: PowerDirect</t>
        </is>
      </c>
      <c r="D188" s="16" t="inlineStr">
        <is>
          <t>RPT445-1</t>
        </is>
      </c>
      <c r="E188" s="17" t="n">
        <v>0</v>
      </c>
      <c r="F188" s="17" t="n">
        <v>5430</v>
      </c>
      <c r="G188" s="17">
        <f>((G187 + E188) - F188)</f>
        <v/>
      </c>
      <c r="H188" s="17" t="n">
        <v>-5430</v>
      </c>
      <c r="I188" s="17" t="n">
        <v>0</v>
      </c>
    </row>
    <row r="189" ht="10.95" customHeight="1" s="9">
      <c r="A189" s="15" t="n">
        <v>46077</v>
      </c>
      <c r="B189" s="16" t="inlineStr">
        <is>
          <t>Receivable Payment</t>
        </is>
      </c>
      <c r="C189" s="16" t="inlineStr">
        <is>
          <t>Payment: Ridgeway University</t>
        </is>
      </c>
      <c r="D189" s="16" t="inlineStr">
        <is>
          <t>INV-0020</t>
        </is>
      </c>
      <c r="E189" s="17" t="n">
        <v>309375</v>
      </c>
      <c r="F189" s="17" t="n">
        <v>0</v>
      </c>
      <c r="G189" s="17">
        <f>((G188 + E189) - F189)</f>
        <v/>
      </c>
      <c r="H189" s="17" t="n">
        <v>309375</v>
      </c>
      <c r="I189" s="17" t="n">
        <v>0</v>
      </c>
    </row>
    <row r="190" ht="10.95" customHeight="1" s="9">
      <c r="A190" s="15" t="n">
        <v>46077</v>
      </c>
      <c r="B190" s="16" t="inlineStr">
        <is>
          <t>Payable Payment</t>
        </is>
      </c>
      <c r="C190" s="16" t="inlineStr">
        <is>
          <t>Payment: Net Connect</t>
        </is>
      </c>
      <c r="D190" s="16" t="inlineStr">
        <is>
          <t>RPT489-1</t>
        </is>
      </c>
      <c r="E190" s="17" t="n">
        <v>0</v>
      </c>
      <c r="F190" s="17" t="n">
        <v>2575</v>
      </c>
      <c r="G190" s="17">
        <f>((G189 + E190) - F190)</f>
        <v/>
      </c>
      <c r="H190" s="17" t="n">
        <v>-2575</v>
      </c>
      <c r="I190" s="17" t="n">
        <v>0</v>
      </c>
    </row>
    <row r="191" ht="10.95" customHeight="1" s="9">
      <c r="A191" s="15" t="n">
        <v>46078</v>
      </c>
      <c r="B191" s="16" t="inlineStr">
        <is>
          <t>Payable Payment</t>
        </is>
      </c>
      <c r="C191" s="16" t="inlineStr">
        <is>
          <t>Payment: Swanston Security</t>
        </is>
      </c>
      <c r="D191" s="16" t="inlineStr">
        <is>
          <t>RPT429-1</t>
        </is>
      </c>
      <c r="E191" s="17" t="n">
        <v>0</v>
      </c>
      <c r="F191" s="17" t="n">
        <v>2977</v>
      </c>
      <c r="G191" s="17">
        <f>((G190 + E191) - F191)</f>
        <v/>
      </c>
      <c r="H191" s="17" t="n">
        <v>-2977</v>
      </c>
      <c r="I191" s="17" t="n">
        <v>0</v>
      </c>
    </row>
    <row r="192" ht="10.95" customHeight="1" s="9">
      <c r="A192" s="15" t="n">
        <v>46078</v>
      </c>
      <c r="B192" s="16" t="inlineStr">
        <is>
          <t>Payable Payment</t>
        </is>
      </c>
      <c r="C192" s="16" t="inlineStr">
        <is>
          <t>Payment: Truxton Property Management</t>
        </is>
      </c>
      <c r="D192" s="16" t="inlineStr">
        <is>
          <t>RPT469-1</t>
        </is>
      </c>
      <c r="E192" s="17" t="n">
        <v>0</v>
      </c>
      <c r="F192" s="17" t="n">
        <v>59062.5</v>
      </c>
      <c r="G192" s="17">
        <f>((G191 + E192) - F192)</f>
        <v/>
      </c>
      <c r="H192" s="17" t="n">
        <v>-59062.5</v>
      </c>
      <c r="I192" s="17" t="n">
        <v>0</v>
      </c>
    </row>
    <row r="193" ht="10.95" customHeight="1" s="9">
      <c r="A193" s="15" t="n">
        <v>46079</v>
      </c>
      <c r="B193" s="16" t="inlineStr">
        <is>
          <t>Payable Payment</t>
        </is>
      </c>
      <c r="C193" s="16" t="inlineStr">
        <is>
          <t>Payment: Xero</t>
        </is>
      </c>
      <c r="D193" s="16" t="inlineStr">
        <is>
          <t>RPT402-1</t>
        </is>
      </c>
      <c r="E193" s="17" t="n">
        <v>0</v>
      </c>
      <c r="F193" s="17" t="n">
        <v>2817.5</v>
      </c>
      <c r="G193" s="17">
        <f>((G192 + E193) - F193)</f>
        <v/>
      </c>
      <c r="H193" s="17" t="n">
        <v>-2817.5</v>
      </c>
      <c r="I193" s="17" t="n">
        <v>0</v>
      </c>
    </row>
    <row r="194" ht="10.95" customHeight="1" s="9">
      <c r="A194" s="15" t="n">
        <v>46080</v>
      </c>
      <c r="B194" s="16" t="inlineStr">
        <is>
          <t>Receivable Payment</t>
        </is>
      </c>
      <c r="C194" s="16" t="inlineStr">
        <is>
          <t>Payment: Petrie McLoud Watson &amp; Associates</t>
        </is>
      </c>
      <c r="D194" s="16" t="inlineStr">
        <is>
          <t>INV-0022</t>
        </is>
      </c>
      <c r="E194" s="17" t="n">
        <v>70362.5</v>
      </c>
      <c r="F194" s="17" t="n">
        <v>0</v>
      </c>
      <c r="G194" s="17">
        <f>((G193 + E194) - F194)</f>
        <v/>
      </c>
      <c r="H194" s="17" t="n">
        <v>70362.5</v>
      </c>
      <c r="I194" s="17" t="n">
        <v>0</v>
      </c>
    </row>
    <row r="195" ht="10.95" customHeight="1" s="9">
      <c r="A195" s="15" t="n">
        <v>46081</v>
      </c>
      <c r="B195" s="16" t="inlineStr">
        <is>
          <t>Receivable Payment</t>
        </is>
      </c>
      <c r="C195" s="16" t="inlineStr">
        <is>
          <t>Payment: Boom FM</t>
        </is>
      </c>
      <c r="D195" s="16" t="inlineStr">
        <is>
          <t>INV-0024</t>
        </is>
      </c>
      <c r="E195" s="17" t="n">
        <v>50000</v>
      </c>
      <c r="F195" s="17" t="n">
        <v>0</v>
      </c>
      <c r="G195" s="17">
        <f>((G194 + E195) - F195)</f>
        <v/>
      </c>
      <c r="H195" s="17" t="n">
        <v>50000</v>
      </c>
      <c r="I195" s="17" t="n">
        <v>0</v>
      </c>
    </row>
    <row r="196" ht="10.95" customHeight="1" s="9">
      <c r="A196" s="18" t="inlineStr">
        <is>
          <t>Total Business Bank Account</t>
        </is>
      </c>
      <c r="B196" s="18" t="n"/>
      <c r="C196" s="18" t="n"/>
      <c r="D196" s="18" t="n"/>
      <c r="E196" s="19">
        <f>SUM(E147:E195)</f>
        <v/>
      </c>
      <c r="F196" s="19">
        <f>SUM(F147:F195)</f>
        <v/>
      </c>
      <c r="G196" s="19">
        <f>G195</f>
        <v/>
      </c>
      <c r="H196" s="19">
        <f>SUM(H147:H195)</f>
        <v/>
      </c>
      <c r="I196" s="19">
        <f>SUM(I147:I195)</f>
        <v/>
      </c>
    </row>
    <row r="197" ht="10.95" customHeight="1" s="9">
      <c r="A197" s="10" t="inlineStr">
        <is>
          <t>Closing Balance</t>
        </is>
      </c>
      <c r="B197" s="10" t="n"/>
      <c r="C197" s="10" t="n"/>
      <c r="D197" s="10" t="n"/>
      <c r="E197" s="11" t="n">
        <v>367196.5</v>
      </c>
      <c r="F197" s="11" t="n">
        <v>0</v>
      </c>
      <c r="G197" s="11">
        <f>G195</f>
        <v/>
      </c>
      <c r="H197" s="11" t="n">
        <v>0</v>
      </c>
      <c r="I197" s="11" t="n">
        <v>0</v>
      </c>
    </row>
    <row r="198" ht="13.35" customHeight="1" s="9"/>
    <row r="199" ht="12.1" customFormat="1" customHeight="1" s="5">
      <c r="A199" s="20" t="inlineStr">
        <is>
          <t>Cleaning</t>
        </is>
      </c>
      <c r="B199" s="20" t="n"/>
      <c r="C199" s="20" t="n"/>
      <c r="D199" s="20" t="n"/>
      <c r="E199" s="20" t="n"/>
      <c r="F199" s="20" t="n"/>
      <c r="G199" s="20" t="n"/>
      <c r="H199" s="20" t="n"/>
      <c r="I199" s="20" t="n"/>
    </row>
    <row r="200" ht="10.95" customHeight="1" s="9">
      <c r="A200" s="12" t="n">
        <v>46043</v>
      </c>
      <c r="B200" s="13" t="inlineStr">
        <is>
          <t>Payable Invoice</t>
        </is>
      </c>
      <c r="C200" s="13" t="inlineStr">
        <is>
          <t>MCO Cleaning Services - Office clean for month</t>
        </is>
      </c>
      <c r="D200" s="13" t="inlineStr">
        <is>
          <t>408</t>
        </is>
      </c>
      <c r="E200" s="14" t="n">
        <v>4961.5</v>
      </c>
      <c r="F200" s="14" t="n">
        <v>0</v>
      </c>
      <c r="G200" s="14">
        <f>(E200 - F200)</f>
        <v/>
      </c>
      <c r="H200" s="14" t="n">
        <v>5954</v>
      </c>
      <c r="I200" s="14" t="n">
        <v>992.5</v>
      </c>
    </row>
    <row r="201" ht="10.95" customHeight="1" s="9">
      <c r="A201" s="18" t="inlineStr">
        <is>
          <t>Total Cleaning</t>
        </is>
      </c>
      <c r="B201" s="18" t="n"/>
      <c r="C201" s="18" t="n"/>
      <c r="D201" s="18" t="n"/>
      <c r="E201" s="19">
        <f>E200</f>
        <v/>
      </c>
      <c r="F201" s="19">
        <f>F200</f>
        <v/>
      </c>
      <c r="G201" s="19">
        <f>G200</f>
        <v/>
      </c>
      <c r="H201" s="19">
        <f>H200</f>
        <v/>
      </c>
      <c r="I201" s="19">
        <f>I200</f>
        <v/>
      </c>
    </row>
    <row r="202" ht="13.35" customHeight="1" s="9"/>
    <row r="203" ht="12.1" customFormat="1" customHeight="1" s="5">
      <c r="A203" s="8" t="inlineStr">
        <is>
          <t>Computer Equipment</t>
        </is>
      </c>
      <c r="B203" s="8" t="n"/>
      <c r="C203" s="8" t="n"/>
      <c r="D203" s="8" t="n"/>
      <c r="E203" s="8" t="n"/>
      <c r="F203" s="8" t="n"/>
      <c r="G203" s="8" t="n"/>
      <c r="H203" s="8" t="n"/>
      <c r="I203" s="8" t="n"/>
    </row>
    <row r="204" ht="10.95" customHeight="1" s="9">
      <c r="A204" s="10" t="inlineStr">
        <is>
          <t>Opening Balance</t>
        </is>
      </c>
      <c r="B204" s="10" t="n"/>
      <c r="C204" s="10" t="n"/>
      <c r="D204" s="10" t="n"/>
      <c r="E204" s="11" t="n">
        <v>0</v>
      </c>
      <c r="F204" s="11" t="n">
        <v>0</v>
      </c>
      <c r="G204" s="11">
        <f>(E204 - F204)</f>
        <v/>
      </c>
      <c r="H204" s="11" t="n">
        <v>0</v>
      </c>
      <c r="I204" s="11" t="n">
        <v>0</v>
      </c>
    </row>
    <row r="205" ht="10.95" customHeight="1" s="9">
      <c r="A205" s="12" t="n">
        <v>46010</v>
      </c>
      <c r="B205" s="13" t="inlineStr">
        <is>
          <t>Payable Invoice</t>
        </is>
      </c>
      <c r="C205" s="13" t="inlineStr">
        <is>
          <t>PC Complete - Laptop</t>
        </is>
      </c>
      <c r="D205" s="13" t="inlineStr">
        <is>
          <t>720-1</t>
        </is>
      </c>
      <c r="E205" s="14" t="n">
        <v>79166.5</v>
      </c>
      <c r="F205" s="14" t="n">
        <v>0</v>
      </c>
      <c r="G205" s="14">
        <f>((G204 + E205) - F205)</f>
        <v/>
      </c>
      <c r="H205" s="14" t="n">
        <v>95000</v>
      </c>
      <c r="I205" s="14" t="n">
        <v>15833.5</v>
      </c>
    </row>
    <row r="206" ht="10.95" customHeight="1" s="9">
      <c r="A206" s="15" t="n">
        <v>46065</v>
      </c>
      <c r="B206" s="16" t="inlineStr">
        <is>
          <t>Manual Journal</t>
        </is>
      </c>
      <c r="C206" s="16" t="inlineStr">
        <is>
          <t>Coded incorrectly Office Equipment should be Computer Equipment - Coded incorrectly Office Equipment should be Computer Equipment</t>
        </is>
      </c>
      <c r="D206" s="16" t="inlineStr">
        <is>
          <t>#423</t>
        </is>
      </c>
      <c r="E206" s="17" t="n">
        <v>0</v>
      </c>
      <c r="F206" s="17" t="n">
        <v>128450</v>
      </c>
      <c r="G206" s="17">
        <f>((G205 + E206) - F206)</f>
        <v/>
      </c>
      <c r="H206" s="17" t="n">
        <v>-128450</v>
      </c>
      <c r="I206" s="17" t="n">
        <v>0</v>
      </c>
    </row>
    <row r="207" ht="10.95" customHeight="1" s="9">
      <c r="A207" s="18" t="inlineStr">
        <is>
          <t>Total Computer Equipment</t>
        </is>
      </c>
      <c r="B207" s="18" t="n"/>
      <c r="C207" s="18" t="n"/>
      <c r="D207" s="18" t="n"/>
      <c r="E207" s="19">
        <f>SUM(E205:E206)</f>
        <v/>
      </c>
      <c r="F207" s="19">
        <f>SUM(F205:F206)</f>
        <v/>
      </c>
      <c r="G207" s="19">
        <f>G206</f>
        <v/>
      </c>
      <c r="H207" s="19">
        <f>SUM(H205:H206)</f>
        <v/>
      </c>
      <c r="I207" s="19">
        <f>SUM(I205:I206)</f>
        <v/>
      </c>
    </row>
    <row r="208" ht="10.95" customHeight="1" s="9">
      <c r="A208" s="10" t="inlineStr">
        <is>
          <t>Closing Balance</t>
        </is>
      </c>
      <c r="B208" s="10" t="n"/>
      <c r="C208" s="10" t="n"/>
      <c r="D208" s="10" t="n"/>
      <c r="E208" s="11" t="n">
        <v>0</v>
      </c>
      <c r="F208" s="11" t="n">
        <v>49283.5</v>
      </c>
      <c r="G208" s="11">
        <f>G206</f>
        <v/>
      </c>
      <c r="H208" s="11" t="n">
        <v>0</v>
      </c>
      <c r="I208" s="11" t="n">
        <v>0</v>
      </c>
    </row>
    <row r="209" ht="13.35" customHeight="1" s="9"/>
    <row r="210" ht="12.1" customFormat="1" customHeight="1" s="5">
      <c r="A210" s="20" t="inlineStr">
        <is>
          <t>Entertainment-100% business</t>
        </is>
      </c>
      <c r="B210" s="20" t="n"/>
      <c r="C210" s="20" t="n"/>
      <c r="D210" s="20" t="n"/>
      <c r="E210" s="20" t="n"/>
      <c r="F210" s="20" t="n"/>
      <c r="G210" s="20" t="n"/>
      <c r="H210" s="20" t="n"/>
      <c r="I210" s="20" t="n"/>
    </row>
    <row r="211" ht="10.95" customHeight="1" s="9">
      <c r="A211" s="12" t="n">
        <v>46029</v>
      </c>
      <c r="B211" s="13" t="inlineStr">
        <is>
          <t>Spend Money</t>
        </is>
      </c>
      <c r="C211" s="13" t="inlineStr">
        <is>
          <t>Berry Brew - Team coffee</t>
        </is>
      </c>
      <c r="D211" s="13" t="n"/>
      <c r="E211" s="14" t="n">
        <v>650</v>
      </c>
      <c r="F211" s="14" t="n">
        <v>0</v>
      </c>
      <c r="G211" s="14">
        <f>(E211 - F211)</f>
        <v/>
      </c>
      <c r="H211" s="14" t="n">
        <v>780</v>
      </c>
      <c r="I211" s="14" t="n">
        <v>130</v>
      </c>
    </row>
    <row r="212" ht="10.95" customHeight="1" s="9">
      <c r="A212" s="15" t="n">
        <v>46043</v>
      </c>
      <c r="B212" s="16" t="inlineStr">
        <is>
          <t>Spend Money</t>
        </is>
      </c>
      <c r="C212" s="16" t="inlineStr">
        <is>
          <t>Espresso 31 - Team coffees</t>
        </is>
      </c>
      <c r="D212" s="16" t="n"/>
      <c r="E212" s="17" t="n">
        <v>666.5</v>
      </c>
      <c r="F212" s="17" t="n">
        <v>0</v>
      </c>
      <c r="G212" s="17">
        <f>((G211 + E212) - F212)</f>
        <v/>
      </c>
      <c r="H212" s="17" t="n">
        <v>800</v>
      </c>
      <c r="I212" s="17" t="n">
        <v>133.5</v>
      </c>
    </row>
    <row r="213" ht="10.95" customHeight="1" s="9">
      <c r="A213" s="18" t="inlineStr">
        <is>
          <t>Total Entertainment-100% business</t>
        </is>
      </c>
      <c r="B213" s="18" t="n"/>
      <c r="C213" s="18" t="n"/>
      <c r="D213" s="18" t="n"/>
      <c r="E213" s="19">
        <f>SUM(E211:E212)</f>
        <v/>
      </c>
      <c r="F213" s="19">
        <f>SUM(F211:F212)</f>
        <v/>
      </c>
      <c r="G213" s="19">
        <f>G212</f>
        <v/>
      </c>
      <c r="H213" s="19">
        <f>SUM(H211:H212)</f>
        <v/>
      </c>
      <c r="I213" s="19">
        <f>SUM(I211:I212)</f>
        <v/>
      </c>
    </row>
    <row r="214" ht="13.35" customHeight="1" s="9"/>
    <row r="215" ht="12.1" customFormat="1" customHeight="1" s="5">
      <c r="A215" s="20" t="inlineStr">
        <is>
          <t>General Expenses</t>
        </is>
      </c>
      <c r="B215" s="20" t="n"/>
      <c r="C215" s="20" t="n"/>
      <c r="D215" s="20" t="n"/>
      <c r="E215" s="20" t="n"/>
      <c r="F215" s="20" t="n"/>
      <c r="G215" s="20" t="n"/>
      <c r="H215" s="20" t="n"/>
      <c r="I215" s="20" t="n"/>
    </row>
    <row r="216" ht="10.95" customHeight="1" s="9">
      <c r="A216" s="12" t="n">
        <v>46028</v>
      </c>
      <c r="B216" s="13" t="inlineStr">
        <is>
          <t>Spend Money</t>
        </is>
      </c>
      <c r="C216" s="13" t="inlineStr">
        <is>
          <t>Woolworths Market - Misc kitchen supplies for office</t>
        </is>
      </c>
      <c r="D216" s="13" t="n"/>
      <c r="E216" s="14" t="n">
        <v>2716.5</v>
      </c>
      <c r="F216" s="14" t="n">
        <v>0</v>
      </c>
      <c r="G216" s="14">
        <f>(E216 - F216)</f>
        <v/>
      </c>
      <c r="H216" s="14" t="n">
        <v>3260</v>
      </c>
      <c r="I216" s="14" t="n">
        <v>543.5</v>
      </c>
    </row>
    <row r="217" ht="10.95" customHeight="1" s="9">
      <c r="A217" s="15" t="n">
        <v>46036</v>
      </c>
      <c r="B217" s="16" t="inlineStr">
        <is>
          <t>Payable Invoice</t>
        </is>
      </c>
      <c r="C217" s="16" t="inlineStr">
        <is>
          <t>Swanston Security - Our share building doorman/security</t>
        </is>
      </c>
      <c r="D217" s="16" t="inlineStr">
        <is>
          <t>RPT429-1</t>
        </is>
      </c>
      <c r="E217" s="17" t="n">
        <v>2481</v>
      </c>
      <c r="F217" s="17" t="n">
        <v>0</v>
      </c>
      <c r="G217" s="17">
        <f>((G216 + E217) - F217)</f>
        <v/>
      </c>
      <c r="H217" s="17" t="n">
        <v>2977</v>
      </c>
      <c r="I217" s="17" t="n">
        <v>496</v>
      </c>
    </row>
    <row r="218" ht="10.95" customHeight="1" s="9">
      <c r="A218" s="15" t="n">
        <v>46039</v>
      </c>
      <c r="B218" s="16" t="inlineStr">
        <is>
          <t>Payable Credit Note</t>
        </is>
      </c>
      <c r="C218" s="16" t="inlineStr">
        <is>
          <t>Swanston Security - Refund as agreed due to window break when guard absent</t>
        </is>
      </c>
      <c r="D218" s="16" t="inlineStr">
        <is>
          <t>RPT429-1</t>
        </is>
      </c>
      <c r="E218" s="17" t="n">
        <v>0</v>
      </c>
      <c r="F218" s="17" t="n">
        <v>1060</v>
      </c>
      <c r="G218" s="17">
        <f>((G217 + E218) - F218)</f>
        <v/>
      </c>
      <c r="H218" s="17" t="n">
        <v>-1272</v>
      </c>
      <c r="I218" s="17" t="n">
        <v>-212</v>
      </c>
    </row>
    <row r="219" ht="10.95" customHeight="1" s="9">
      <c r="A219" s="15" t="n">
        <v>46040</v>
      </c>
      <c r="B219" s="16" t="inlineStr">
        <is>
          <t>Payable Invoice</t>
        </is>
      </c>
      <c r="C219" s="16" t="inlineStr">
        <is>
          <t>PC Complete - DVD writer for laptop</t>
        </is>
      </c>
      <c r="D219" s="16" t="inlineStr">
        <is>
          <t>720-2</t>
        </is>
      </c>
      <c r="E219" s="17" t="n">
        <v>11265</v>
      </c>
      <c r="F219" s="17" t="n">
        <v>0</v>
      </c>
      <c r="G219" s="17">
        <f>((G218 + E219) - F219)</f>
        <v/>
      </c>
      <c r="H219" s="17" t="n">
        <v>13518</v>
      </c>
      <c r="I219" s="17" t="n">
        <v>2253</v>
      </c>
    </row>
    <row r="220" ht="10.95" customHeight="1" s="9">
      <c r="A220" s="15" t="n">
        <v>46043</v>
      </c>
      <c r="B220" s="16" t="inlineStr">
        <is>
          <t>Payable Credit Note</t>
        </is>
      </c>
      <c r="C220" s="16" t="inlineStr">
        <is>
          <t>PC Complete - Unable to supply DVD writer for laptop</t>
        </is>
      </c>
      <c r="D220" s="16" t="inlineStr">
        <is>
          <t>720-2</t>
        </is>
      </c>
      <c r="E220" s="17" t="n">
        <v>0</v>
      </c>
      <c r="F220" s="17" t="n">
        <v>11265</v>
      </c>
      <c r="G220" s="17">
        <f>((G219 + E220) - F220)</f>
        <v/>
      </c>
      <c r="H220" s="17" t="n">
        <v>-13518</v>
      </c>
      <c r="I220" s="17" t="n">
        <v>-2253</v>
      </c>
    </row>
    <row r="221" ht="10.95" customHeight="1" s="9">
      <c r="A221" s="15" t="n">
        <v>46046</v>
      </c>
      <c r="B221" s="16" t="inlineStr">
        <is>
          <t>Spend Money</t>
        </is>
      </c>
      <c r="C221" s="16" t="inlineStr">
        <is>
          <t>Brunswick Petals</t>
        </is>
      </c>
      <c r="D221" s="16" t="n"/>
      <c r="E221" s="17" t="n">
        <v>2083.5</v>
      </c>
      <c r="F221" s="17" t="n">
        <v>0</v>
      </c>
      <c r="G221" s="17">
        <f>((G220 + E221) - F221)</f>
        <v/>
      </c>
      <c r="H221" s="17" t="n">
        <v>2500</v>
      </c>
      <c r="I221" s="17" t="n">
        <v>416.5</v>
      </c>
    </row>
    <row r="222" ht="10.95" customHeight="1" s="9">
      <c r="A222" s="15" t="n">
        <v>46064</v>
      </c>
      <c r="B222" s="16" t="inlineStr">
        <is>
          <t>Payable Invoice</t>
        </is>
      </c>
      <c r="C222" s="16" t="inlineStr">
        <is>
          <t>Swanston Security - Our share building doorman/security</t>
        </is>
      </c>
      <c r="D222" s="16" t="inlineStr">
        <is>
          <t>RPT429-1</t>
        </is>
      </c>
      <c r="E222" s="17" t="n">
        <v>2481</v>
      </c>
      <c r="F222" s="17" t="n">
        <v>0</v>
      </c>
      <c r="G222" s="17">
        <f>((G221 + E222) - F222)</f>
        <v/>
      </c>
      <c r="H222" s="17" t="n">
        <v>2977</v>
      </c>
      <c r="I222" s="17" t="n">
        <v>496</v>
      </c>
    </row>
    <row r="223" ht="10.95" customHeight="1" s="9">
      <c r="A223" s="18" t="inlineStr">
        <is>
          <t>Total General Expenses</t>
        </is>
      </c>
      <c r="B223" s="18" t="n"/>
      <c r="C223" s="18" t="n"/>
      <c r="D223" s="18" t="n"/>
      <c r="E223" s="19">
        <f>SUM(E216:E222)</f>
        <v/>
      </c>
      <c r="F223" s="19">
        <f>SUM(F216:F222)</f>
        <v/>
      </c>
      <c r="G223" s="19">
        <f>G222</f>
        <v/>
      </c>
      <c r="H223" s="19">
        <f>SUM(H216:H222)</f>
        <v/>
      </c>
      <c r="I223" s="19">
        <f>SUM(I216:I222)</f>
        <v/>
      </c>
    </row>
    <row r="224" ht="13.35" customHeight="1" s="9"/>
    <row r="225" ht="12.1" customFormat="1" customHeight="1" s="5">
      <c r="A225" s="20" t="inlineStr">
        <is>
          <t>Light, Power, Heating</t>
        </is>
      </c>
      <c r="B225" s="20" t="n"/>
      <c r="C225" s="20" t="n"/>
      <c r="D225" s="20" t="n"/>
      <c r="E225" s="20" t="n"/>
      <c r="F225" s="20" t="n"/>
      <c r="G225" s="20" t="n"/>
      <c r="H225" s="20" t="n"/>
      <c r="I225" s="20" t="n"/>
    </row>
    <row r="226" ht="10.95" customHeight="1" s="9">
      <c r="A226" s="12" t="n">
        <v>45763</v>
      </c>
      <c r="B226" s="13" t="inlineStr">
        <is>
          <t>Payable Invoice</t>
        </is>
      </c>
      <c r="C226" s="13" t="inlineStr">
        <is>
          <t>PowerDirect - Monthly electricity</t>
        </is>
      </c>
      <c r="D226" s="13" t="inlineStr">
        <is>
          <t>RPT445-1</t>
        </is>
      </c>
      <c r="E226" s="14" t="n">
        <v>4619</v>
      </c>
      <c r="F226" s="14" t="n">
        <v>0</v>
      </c>
      <c r="G226" s="14">
        <f>(E226 - F226)</f>
        <v/>
      </c>
      <c r="H226" s="14" t="n">
        <v>4850</v>
      </c>
      <c r="I226" s="14" t="n">
        <v>231</v>
      </c>
    </row>
    <row r="227" ht="10.95" customHeight="1" s="9">
      <c r="A227" s="15" t="n">
        <v>45794</v>
      </c>
      <c r="B227" s="16" t="inlineStr">
        <is>
          <t>Payable Invoice</t>
        </is>
      </c>
      <c r="C227" s="16" t="inlineStr">
        <is>
          <t>PowerDirect - Monthly electricity</t>
        </is>
      </c>
      <c r="D227" s="16" t="inlineStr">
        <is>
          <t>RPT445-1</t>
        </is>
      </c>
      <c r="E227" s="17" t="n">
        <v>4381</v>
      </c>
      <c r="F227" s="17" t="n">
        <v>0</v>
      </c>
      <c r="G227" s="17">
        <f>((G226 + E227) - F227)</f>
        <v/>
      </c>
      <c r="H227" s="17" t="n">
        <v>4600</v>
      </c>
      <c r="I227" s="17" t="n">
        <v>219</v>
      </c>
    </row>
    <row r="228" ht="10.95" customHeight="1" s="9">
      <c r="A228" s="15" t="n">
        <v>45824</v>
      </c>
      <c r="B228" s="16" t="inlineStr">
        <is>
          <t>Payable Invoice</t>
        </is>
      </c>
      <c r="C228" s="16" t="inlineStr">
        <is>
          <t>PowerDirect - Monthly electricity</t>
        </is>
      </c>
      <c r="D228" s="16" t="inlineStr">
        <is>
          <t>RPT445-1</t>
        </is>
      </c>
      <c r="E228" s="17" t="n">
        <v>4238</v>
      </c>
      <c r="F228" s="17" t="n">
        <v>0</v>
      </c>
      <c r="G228" s="17">
        <f>((G227 + E228) - F228)</f>
        <v/>
      </c>
      <c r="H228" s="17" t="n">
        <v>4450</v>
      </c>
      <c r="I228" s="17" t="n">
        <v>212</v>
      </c>
    </row>
    <row r="229" ht="10.95" customHeight="1" s="9">
      <c r="A229" s="15" t="n">
        <v>45855</v>
      </c>
      <c r="B229" s="16" t="inlineStr">
        <is>
          <t>Payable Invoice</t>
        </is>
      </c>
      <c r="C229" s="16" t="inlineStr">
        <is>
          <t>PowerDirect - Monthly electricity</t>
        </is>
      </c>
      <c r="D229" s="16" t="inlineStr">
        <is>
          <t>RPT445-1</t>
        </is>
      </c>
      <c r="E229" s="17" t="n">
        <v>4333.5</v>
      </c>
      <c r="F229" s="17" t="n">
        <v>0</v>
      </c>
      <c r="G229" s="17">
        <f>((G228 + E229) - F229)</f>
        <v/>
      </c>
      <c r="H229" s="17" t="n">
        <v>4550</v>
      </c>
      <c r="I229" s="17" t="n">
        <v>216.5</v>
      </c>
    </row>
    <row r="230" ht="10.95" customHeight="1" s="9">
      <c r="A230" s="15" t="n">
        <v>45886</v>
      </c>
      <c r="B230" s="16" t="inlineStr">
        <is>
          <t>Payable Invoice</t>
        </is>
      </c>
      <c r="C230" s="16" t="inlineStr">
        <is>
          <t>PowerDirect - Monthly electricity</t>
        </is>
      </c>
      <c r="D230" s="16" t="inlineStr">
        <is>
          <t>RPT445-1</t>
        </is>
      </c>
      <c r="E230" s="17" t="n">
        <v>4583.5</v>
      </c>
      <c r="F230" s="17" t="n">
        <v>0</v>
      </c>
      <c r="G230" s="17">
        <f>((G229 + E230) - F230)</f>
        <v/>
      </c>
      <c r="H230" s="17" t="n">
        <v>4812.5</v>
      </c>
      <c r="I230" s="17" t="n">
        <v>229</v>
      </c>
    </row>
    <row r="231" ht="10.95" customHeight="1" s="9">
      <c r="A231" s="15" t="n">
        <v>45916</v>
      </c>
      <c r="B231" s="16" t="inlineStr">
        <is>
          <t>Payable Invoice</t>
        </is>
      </c>
      <c r="C231" s="16" t="inlineStr">
        <is>
          <t>PowerDirect - Monthly electricity</t>
        </is>
      </c>
      <c r="D231" s="16" t="inlineStr">
        <is>
          <t>RPT445-1</t>
        </is>
      </c>
      <c r="E231" s="17" t="n">
        <v>4790.5</v>
      </c>
      <c r="F231" s="17" t="n">
        <v>0</v>
      </c>
      <c r="G231" s="17">
        <f>((G230 + E231) - F231)</f>
        <v/>
      </c>
      <c r="H231" s="17" t="n">
        <v>5030</v>
      </c>
      <c r="I231" s="17" t="n">
        <v>239.5</v>
      </c>
    </row>
    <row r="232" ht="10.95" customHeight="1" s="9">
      <c r="A232" s="15" t="n">
        <v>45947</v>
      </c>
      <c r="B232" s="16" t="inlineStr">
        <is>
          <t>Payable Invoice</t>
        </is>
      </c>
      <c r="C232" s="16" t="inlineStr">
        <is>
          <t>PowerDirect - Monthly electricity</t>
        </is>
      </c>
      <c r="D232" s="16" t="inlineStr">
        <is>
          <t>RPT445-1</t>
        </is>
      </c>
      <c r="E232" s="17" t="n">
        <v>5035.5</v>
      </c>
      <c r="F232" s="17" t="n">
        <v>0</v>
      </c>
      <c r="G232" s="17">
        <f>((G231 + E232) - F232)</f>
        <v/>
      </c>
      <c r="H232" s="17" t="n">
        <v>5287.5</v>
      </c>
      <c r="I232" s="17" t="n">
        <v>252</v>
      </c>
    </row>
    <row r="233" ht="10.95" customHeight="1" s="9">
      <c r="A233" s="15" t="n">
        <v>45977</v>
      </c>
      <c r="B233" s="16" t="inlineStr">
        <is>
          <t>Payable Invoice</t>
        </is>
      </c>
      <c r="C233" s="16" t="inlineStr">
        <is>
          <t>PowerDirect - Monthly electricity</t>
        </is>
      </c>
      <c r="D233" s="16" t="inlineStr">
        <is>
          <t>RPT445-1</t>
        </is>
      </c>
      <c r="E233" s="17" t="n">
        <v>5071.5</v>
      </c>
      <c r="F233" s="17" t="n">
        <v>0</v>
      </c>
      <c r="G233" s="17">
        <f>((G232 + E233) - F233)</f>
        <v/>
      </c>
      <c r="H233" s="17" t="n">
        <v>5325</v>
      </c>
      <c r="I233" s="17" t="n">
        <v>253.5</v>
      </c>
    </row>
    <row r="234" ht="10.95" customHeight="1" s="9">
      <c r="A234" s="15" t="n">
        <v>46008</v>
      </c>
      <c r="B234" s="16" t="inlineStr">
        <is>
          <t>Payable Invoice</t>
        </is>
      </c>
      <c r="C234" s="16" t="inlineStr">
        <is>
          <t>PowerDirect - Monthly electricity</t>
        </is>
      </c>
      <c r="D234" s="16" t="inlineStr">
        <is>
          <t>RPT445-1</t>
        </is>
      </c>
      <c r="E234" s="17" t="n">
        <v>5670.5</v>
      </c>
      <c r="F234" s="17" t="n">
        <v>0</v>
      </c>
      <c r="G234" s="17">
        <f>((G233 + E234) - F234)</f>
        <v/>
      </c>
      <c r="H234" s="17" t="n">
        <v>5954</v>
      </c>
      <c r="I234" s="17" t="n">
        <v>283.5</v>
      </c>
    </row>
    <row r="235" ht="10.95" customHeight="1" s="9">
      <c r="A235" s="15" t="n">
        <v>46039</v>
      </c>
      <c r="B235" s="16" t="inlineStr">
        <is>
          <t>Payable Invoice</t>
        </is>
      </c>
      <c r="C235" s="16" t="inlineStr">
        <is>
          <t>PowerDirect - Monthly electricity</t>
        </is>
      </c>
      <c r="D235" s="16" t="inlineStr">
        <is>
          <t>RPT445-1</t>
        </is>
      </c>
      <c r="E235" s="17" t="n">
        <v>6469</v>
      </c>
      <c r="F235" s="17" t="n">
        <v>0</v>
      </c>
      <c r="G235" s="17">
        <f>((G234 + E235) - F235)</f>
        <v/>
      </c>
      <c r="H235" s="17" t="n">
        <v>6792.5</v>
      </c>
      <c r="I235" s="17" t="n">
        <v>323.5</v>
      </c>
    </row>
    <row r="236" ht="10.95" customHeight="1" s="9">
      <c r="A236" s="15" t="n">
        <v>46067</v>
      </c>
      <c r="B236" s="16" t="inlineStr">
        <is>
          <t>Payable Invoice</t>
        </is>
      </c>
      <c r="C236" s="16" t="inlineStr">
        <is>
          <t>PowerDirect - Monthly electricity</t>
        </is>
      </c>
      <c r="D236" s="16" t="inlineStr">
        <is>
          <t>RPT445-1</t>
        </is>
      </c>
      <c r="E236" s="17" t="n">
        <v>5171.5</v>
      </c>
      <c r="F236" s="17" t="n">
        <v>0</v>
      </c>
      <c r="G236" s="17">
        <f>((G235 + E236) - F236)</f>
        <v/>
      </c>
      <c r="H236" s="17" t="n">
        <v>5430</v>
      </c>
      <c r="I236" s="17" t="n">
        <v>258.5</v>
      </c>
    </row>
    <row r="237" ht="10.95" customHeight="1" s="9">
      <c r="A237" s="18" t="inlineStr">
        <is>
          <t>Total Light, Power, Heating</t>
        </is>
      </c>
      <c r="B237" s="18" t="n"/>
      <c r="C237" s="18" t="n"/>
      <c r="D237" s="18" t="n"/>
      <c r="E237" s="19">
        <f>SUM(E226:E236)</f>
        <v/>
      </c>
      <c r="F237" s="19">
        <f>SUM(F226:F236)</f>
        <v/>
      </c>
      <c r="G237" s="19">
        <f>G236</f>
        <v/>
      </c>
      <c r="H237" s="19">
        <f>SUM(H226:H236)</f>
        <v/>
      </c>
      <c r="I237" s="19">
        <f>SUM(I226:I236)</f>
        <v/>
      </c>
    </row>
    <row r="238" ht="13.35" customHeight="1" s="9"/>
    <row r="239" ht="12.1" customFormat="1" customHeight="1" s="5">
      <c r="A239" s="20" t="inlineStr">
        <is>
          <t>Motor Vehicle Expenses</t>
        </is>
      </c>
      <c r="B239" s="20" t="n"/>
      <c r="C239" s="20" t="n"/>
      <c r="D239" s="20" t="n"/>
      <c r="E239" s="20" t="n"/>
      <c r="F239" s="20" t="n"/>
      <c r="G239" s="20" t="n"/>
      <c r="H239" s="20" t="n"/>
      <c r="I239" s="20" t="n"/>
    </row>
    <row r="240" ht="10.95" customHeight="1" s="9">
      <c r="A240" s="12" t="n">
        <v>46038</v>
      </c>
      <c r="B240" s="13" t="inlineStr">
        <is>
          <t>Spend Money</t>
        </is>
      </c>
      <c r="C240" s="13" t="inlineStr">
        <is>
          <t>Melrose Parking - Monthly carpark</t>
        </is>
      </c>
      <c r="D240" s="13" t="inlineStr">
        <is>
          <t>Chq 409</t>
        </is>
      </c>
      <c r="E240" s="14" t="n">
        <v>6187.5</v>
      </c>
      <c r="F240" s="14" t="n">
        <v>0</v>
      </c>
      <c r="G240" s="14">
        <f>(E240 - F240)</f>
        <v/>
      </c>
      <c r="H240" s="14" t="n">
        <v>7425</v>
      </c>
      <c r="I240" s="14" t="n">
        <v>1237.5</v>
      </c>
    </row>
    <row r="241" ht="10.95" customHeight="1" s="9">
      <c r="A241" s="15" t="n">
        <v>46047</v>
      </c>
      <c r="B241" s="16" t="inlineStr">
        <is>
          <t>Spend Money</t>
        </is>
      </c>
      <c r="C241" s="16" t="inlineStr">
        <is>
          <t>Mobil - Petrol in company car</t>
        </is>
      </c>
      <c r="D241" s="16" t="n"/>
      <c r="E241" s="17" t="n">
        <v>2950</v>
      </c>
      <c r="F241" s="17" t="n">
        <v>0</v>
      </c>
      <c r="G241" s="17">
        <f>((G240 + E241) - F241)</f>
        <v/>
      </c>
      <c r="H241" s="17" t="n">
        <v>3540</v>
      </c>
      <c r="I241" s="17" t="n">
        <v>590</v>
      </c>
    </row>
    <row r="242" ht="10.95" customHeight="1" s="9">
      <c r="A242" s="18" t="inlineStr">
        <is>
          <t>Total Motor Vehicle Expenses</t>
        </is>
      </c>
      <c r="B242" s="18" t="n"/>
      <c r="C242" s="18" t="n"/>
      <c r="D242" s="18" t="n"/>
      <c r="E242" s="19">
        <f>SUM(E240:E241)</f>
        <v/>
      </c>
      <c r="F242" s="19">
        <f>SUM(F240:F241)</f>
        <v/>
      </c>
      <c r="G242" s="19">
        <f>G241</f>
        <v/>
      </c>
      <c r="H242" s="19">
        <f>SUM(H240:H241)</f>
        <v/>
      </c>
      <c r="I242" s="19">
        <f>SUM(I240:I241)</f>
        <v/>
      </c>
    </row>
    <row r="243" ht="13.35" customHeight="1" s="9"/>
    <row r="244" ht="12.1" customFormat="1" customHeight="1" s="5">
      <c r="A244" s="8" t="inlineStr">
        <is>
          <t>Office Equipment</t>
        </is>
      </c>
      <c r="B244" s="8" t="n"/>
      <c r="C244" s="8" t="n"/>
      <c r="D244" s="8" t="n"/>
      <c r="E244" s="8" t="n"/>
      <c r="F244" s="8" t="n"/>
      <c r="G244" s="8" t="n"/>
      <c r="H244" s="8" t="n"/>
      <c r="I244" s="8" t="n"/>
    </row>
    <row r="245" ht="10.95" customHeight="1" s="9">
      <c r="A245" s="10" t="inlineStr">
        <is>
          <t>Opening Balance</t>
        </is>
      </c>
      <c r="B245" s="10" t="n"/>
      <c r="C245" s="10" t="n"/>
      <c r="D245" s="10" t="n"/>
      <c r="E245" s="11" t="n">
        <v>0</v>
      </c>
      <c r="F245" s="11" t="n">
        <v>0</v>
      </c>
      <c r="G245" s="11">
        <f>(E245 - F245)</f>
        <v/>
      </c>
      <c r="H245" s="11" t="n">
        <v>0</v>
      </c>
      <c r="I245" s="11" t="n">
        <v>0</v>
      </c>
    </row>
    <row r="246" ht="10.95" customHeight="1" s="9">
      <c r="A246" s="12" t="n">
        <v>46065</v>
      </c>
      <c r="B246" s="13" t="inlineStr">
        <is>
          <t>Manual Journal</t>
        </is>
      </c>
      <c r="C246" s="13" t="inlineStr">
        <is>
          <t>Coded incorrectly Office Equipment should be Computer Equipment - Coded incorrectly Computer Equipment should be Office Equipment</t>
        </is>
      </c>
      <c r="D246" s="13" t="inlineStr">
        <is>
          <t>#423</t>
        </is>
      </c>
      <c r="E246" s="14" t="n">
        <v>128450</v>
      </c>
      <c r="F246" s="14" t="n">
        <v>0</v>
      </c>
      <c r="G246" s="14">
        <f>((G245 + E246) - F246)</f>
        <v/>
      </c>
      <c r="H246" s="14" t="n">
        <v>128450</v>
      </c>
      <c r="I246" s="14" t="n">
        <v>0</v>
      </c>
    </row>
    <row r="247" ht="10.95" customHeight="1" s="9">
      <c r="A247" s="18" t="inlineStr">
        <is>
          <t>Total Office Equipment</t>
        </is>
      </c>
      <c r="B247" s="18" t="n"/>
      <c r="C247" s="18" t="n"/>
      <c r="D247" s="18" t="n"/>
      <c r="E247" s="19">
        <f>E246</f>
        <v/>
      </c>
      <c r="F247" s="19">
        <f>F246</f>
        <v/>
      </c>
      <c r="G247" s="19">
        <f>G246</f>
        <v/>
      </c>
      <c r="H247" s="19">
        <f>H246</f>
        <v/>
      </c>
      <c r="I247" s="19">
        <f>I246</f>
        <v/>
      </c>
    </row>
    <row r="248" ht="10.95" customHeight="1" s="9">
      <c r="A248" s="10" t="inlineStr">
        <is>
          <t>Closing Balance</t>
        </is>
      </c>
      <c r="B248" s="10" t="n"/>
      <c r="C248" s="10" t="n"/>
      <c r="D248" s="10" t="n"/>
      <c r="E248" s="11" t="n">
        <v>128450</v>
      </c>
      <c r="F248" s="11" t="n">
        <v>0</v>
      </c>
      <c r="G248" s="11">
        <f>G246</f>
        <v/>
      </c>
      <c r="H248" s="11" t="n">
        <v>0</v>
      </c>
      <c r="I248" s="11" t="n">
        <v>0</v>
      </c>
    </row>
    <row r="249" ht="13.35" customHeight="1" s="9"/>
    <row r="250" ht="12.1" customFormat="1" customHeight="1" s="5">
      <c r="A250" s="20" t="inlineStr">
        <is>
          <t>Printing &amp; Stationery</t>
        </is>
      </c>
      <c r="B250" s="20" t="n"/>
      <c r="C250" s="20" t="n"/>
      <c r="D250" s="20" t="n"/>
      <c r="E250" s="20" t="n"/>
      <c r="F250" s="20" t="n"/>
      <c r="G250" s="20" t="n"/>
      <c r="H250" s="20" t="n"/>
      <c r="I250" s="20" t="n"/>
    </row>
    <row r="251" ht="10.95" customHeight="1" s="9">
      <c r="A251" s="12" t="n">
        <v>46020</v>
      </c>
      <c r="B251" s="13" t="inlineStr">
        <is>
          <t>Spend Money</t>
        </is>
      </c>
      <c r="C251" s="13" t="inlineStr">
        <is>
          <t>Office Supplies Company - Misc stationery</t>
        </is>
      </c>
      <c r="D251" s="13" t="inlineStr">
        <is>
          <t>Eft</t>
        </is>
      </c>
      <c r="E251" s="14" t="n">
        <v>904.5</v>
      </c>
      <c r="F251" s="14" t="n">
        <v>0</v>
      </c>
      <c r="G251" s="14">
        <f>(E251 - F251)</f>
        <v/>
      </c>
      <c r="H251" s="14" t="n">
        <v>1085.5</v>
      </c>
      <c r="I251" s="14" t="n">
        <v>181</v>
      </c>
    </row>
    <row r="252" ht="10.95" customHeight="1" s="9">
      <c r="A252" s="18" t="inlineStr">
        <is>
          <t>Total Printing &amp; Stationery</t>
        </is>
      </c>
      <c r="B252" s="18" t="n"/>
      <c r="C252" s="18" t="n"/>
      <c r="D252" s="18" t="n"/>
      <c r="E252" s="19">
        <f>E251</f>
        <v/>
      </c>
      <c r="F252" s="19">
        <f>F251</f>
        <v/>
      </c>
      <c r="G252" s="19">
        <f>G251</f>
        <v/>
      </c>
      <c r="H252" s="19">
        <f>H251</f>
        <v/>
      </c>
      <c r="I252" s="19">
        <f>I251</f>
        <v/>
      </c>
    </row>
    <row r="253" ht="13.35" customHeight="1" s="9"/>
    <row r="254" ht="12.1" customFormat="1" customHeight="1" s="5">
      <c r="A254" s="20" t="inlineStr">
        <is>
          <t>Rent</t>
        </is>
      </c>
      <c r="B254" s="20" t="n"/>
      <c r="C254" s="20" t="n"/>
      <c r="D254" s="20" t="n"/>
      <c r="E254" s="20" t="n"/>
      <c r="F254" s="20" t="n"/>
      <c r="G254" s="20" t="n"/>
      <c r="H254" s="20" t="n"/>
      <c r="I254" s="20" t="n"/>
    </row>
    <row r="255" ht="10.95" customHeight="1" s="9">
      <c r="A255" s="12" t="n">
        <v>46006</v>
      </c>
      <c r="B255" s="13" t="inlineStr">
        <is>
          <t>Payable Invoice</t>
        </is>
      </c>
      <c r="C255" s="13" t="inlineStr">
        <is>
          <t>Truxton Property Management - Monthly rent in advance</t>
        </is>
      </c>
      <c r="D255" s="13" t="inlineStr">
        <is>
          <t>RPT469-1</t>
        </is>
      </c>
      <c r="E255" s="14" t="n">
        <v>49219</v>
      </c>
      <c r="F255" s="14" t="n">
        <v>0</v>
      </c>
      <c r="G255" s="14">
        <f>(E255 - F255)</f>
        <v/>
      </c>
      <c r="H255" s="14" t="n">
        <v>59062.5</v>
      </c>
      <c r="I255" s="14" t="n">
        <v>9843.5</v>
      </c>
    </row>
    <row r="256" ht="10.95" customHeight="1" s="9">
      <c r="A256" s="15" t="n">
        <v>46037</v>
      </c>
      <c r="B256" s="16" t="inlineStr">
        <is>
          <t>Payable Invoice</t>
        </is>
      </c>
      <c r="C256" s="16" t="inlineStr">
        <is>
          <t>Truxton Property Management - Monthly rent in advance</t>
        </is>
      </c>
      <c r="D256" s="16" t="inlineStr">
        <is>
          <t>RPT469-1</t>
        </is>
      </c>
      <c r="E256" s="17" t="n">
        <v>49219</v>
      </c>
      <c r="F256" s="17" t="n">
        <v>0</v>
      </c>
      <c r="G256" s="17">
        <f>((G255 + E256) - F256)</f>
        <v/>
      </c>
      <c r="H256" s="17" t="n">
        <v>59062.5</v>
      </c>
      <c r="I256" s="17" t="n">
        <v>9843.5</v>
      </c>
    </row>
    <row r="257" ht="10.95" customHeight="1" s="9">
      <c r="A257" s="15" t="n">
        <v>46065</v>
      </c>
      <c r="B257" s="16" t="inlineStr">
        <is>
          <t>Payable Invoice</t>
        </is>
      </c>
      <c r="C257" s="16" t="inlineStr">
        <is>
          <t>Truxton Property Management - Monthly rent in advance</t>
        </is>
      </c>
      <c r="D257" s="16" t="inlineStr">
        <is>
          <t>RPT469-1</t>
        </is>
      </c>
      <c r="E257" s="17" t="n">
        <v>49219</v>
      </c>
      <c r="F257" s="17" t="n">
        <v>0</v>
      </c>
      <c r="G257" s="17">
        <f>((G256 + E257) - F257)</f>
        <v/>
      </c>
      <c r="H257" s="17" t="n">
        <v>59062.5</v>
      </c>
      <c r="I257" s="17" t="n">
        <v>9843.5</v>
      </c>
    </row>
    <row r="258" ht="10.95" customHeight="1" s="9">
      <c r="A258" s="18" t="inlineStr">
        <is>
          <t>Total Rent</t>
        </is>
      </c>
      <c r="B258" s="18" t="n"/>
      <c r="C258" s="18" t="n"/>
      <c r="D258" s="18" t="n"/>
      <c r="E258" s="19">
        <f>SUM(E255:E257)</f>
        <v/>
      </c>
      <c r="F258" s="19">
        <f>SUM(F255:F257)</f>
        <v/>
      </c>
      <c r="G258" s="19">
        <f>G257</f>
        <v/>
      </c>
      <c r="H258" s="19">
        <f>SUM(H255:H257)</f>
        <v/>
      </c>
      <c r="I258" s="19">
        <f>SUM(I255:I257)</f>
        <v/>
      </c>
    </row>
    <row r="259" ht="13.35" customHeight="1" s="9"/>
    <row r="260" ht="12.1" customFormat="1" customHeight="1" s="5">
      <c r="A260" s="20" t="inlineStr">
        <is>
          <t>Repairs &amp; Maintenance</t>
        </is>
      </c>
      <c r="B260" s="20" t="n"/>
      <c r="C260" s="20" t="n"/>
      <c r="D260" s="20" t="n"/>
      <c r="E260" s="20" t="n"/>
      <c r="F260" s="20" t="n"/>
      <c r="G260" s="20" t="n"/>
      <c r="H260" s="20" t="n"/>
      <c r="I260" s="20" t="n"/>
    </row>
    <row r="261" ht="10.95" customHeight="1" s="9">
      <c r="A261" s="12" t="n">
        <v>46041</v>
      </c>
      <c r="B261" s="13" t="inlineStr">
        <is>
          <t>Payable Invoice</t>
        </is>
      </c>
      <c r="C261" s="13" t="inlineStr">
        <is>
          <t>Central Copiers - Photocopier repair &amp; drum replacement</t>
        </is>
      </c>
      <c r="D261" s="13" t="inlineStr">
        <is>
          <t>945-Ocon</t>
        </is>
      </c>
      <c r="E261" s="14" t="n">
        <v>44315</v>
      </c>
      <c r="F261" s="14" t="n">
        <v>0</v>
      </c>
      <c r="G261" s="14">
        <f>(E261 - F261)</f>
        <v/>
      </c>
      <c r="H261" s="14" t="n">
        <v>53178</v>
      </c>
      <c r="I261" s="14" t="n">
        <v>8863</v>
      </c>
    </row>
    <row r="262" ht="10.95" customHeight="1" s="9">
      <c r="A262" s="18" t="inlineStr">
        <is>
          <t>Total Repairs &amp; Maintenance</t>
        </is>
      </c>
      <c r="B262" s="18" t="n"/>
      <c r="C262" s="18" t="n"/>
      <c r="D262" s="18" t="n"/>
      <c r="E262" s="19">
        <f>E261</f>
        <v/>
      </c>
      <c r="F262" s="19">
        <f>F261</f>
        <v/>
      </c>
      <c r="G262" s="19">
        <f>G261</f>
        <v/>
      </c>
      <c r="H262" s="19">
        <f>H261</f>
        <v/>
      </c>
      <c r="I262" s="19">
        <f>I261</f>
        <v/>
      </c>
    </row>
    <row r="263" ht="13.35" customHeight="1" s="9"/>
    <row r="264" ht="12.1" customFormat="1" customHeight="1" s="5">
      <c r="A264" s="20" t="inlineStr">
        <is>
          <t>Sales</t>
        </is>
      </c>
      <c r="B264" s="20" t="n"/>
      <c r="C264" s="20" t="n"/>
      <c r="D264" s="20" t="n"/>
      <c r="E264" s="20" t="n"/>
      <c r="F264" s="20" t="n"/>
      <c r="G264" s="20" t="n"/>
      <c r="H264" s="20" t="n"/>
      <c r="I264" s="20" t="n"/>
    </row>
    <row r="265" ht="10.95" customHeight="1" s="9">
      <c r="A265" s="12" t="n">
        <v>45761</v>
      </c>
      <c r="B265" s="13" t="inlineStr">
        <is>
          <t>Receivable Invoice</t>
        </is>
      </c>
      <c r="C265" s="13" t="inlineStr">
        <is>
          <t>Ridgeway University - Retainer for consulting work</t>
        </is>
      </c>
      <c r="D265" s="13" t="inlineStr">
        <is>
          <t>RPT200-1</t>
        </is>
      </c>
      <c r="E265" s="14" t="n">
        <v>0</v>
      </c>
      <c r="F265" s="14" t="n">
        <v>20833.5</v>
      </c>
      <c r="G265" s="14">
        <f>(F265 - E265)</f>
        <v/>
      </c>
      <c r="H265" s="14" t="n">
        <v>25000</v>
      </c>
      <c r="I265" s="14" t="n">
        <v>4166.5</v>
      </c>
    </row>
    <row r="266" ht="10.95" customHeight="1" s="9">
      <c r="A266" s="15" t="n">
        <v>45792</v>
      </c>
      <c r="B266" s="16" t="inlineStr">
        <is>
          <t>Receivable Invoice</t>
        </is>
      </c>
      <c r="C266" s="16" t="inlineStr">
        <is>
          <t>Ridgeway University - Retainer for consulting work</t>
        </is>
      </c>
      <c r="D266" s="16" t="inlineStr">
        <is>
          <t>RPT200-1</t>
        </is>
      </c>
      <c r="E266" s="17" t="n">
        <v>0</v>
      </c>
      <c r="F266" s="17" t="n">
        <v>20833.5</v>
      </c>
      <c r="G266" s="17">
        <f>((G265 + F266) - E266)</f>
        <v/>
      </c>
      <c r="H266" s="17" t="n">
        <v>25000</v>
      </c>
      <c r="I266" s="17" t="n">
        <v>4166.5</v>
      </c>
    </row>
    <row r="267" ht="10.95" customHeight="1" s="9">
      <c r="A267" s="15" t="n">
        <v>45822</v>
      </c>
      <c r="B267" s="16" t="inlineStr">
        <is>
          <t>Receivable Invoice</t>
        </is>
      </c>
      <c r="C267" s="16" t="inlineStr">
        <is>
          <t>Ridgeway University - Retainer for consulting work</t>
        </is>
      </c>
      <c r="D267" s="16" t="inlineStr">
        <is>
          <t>RPT200-1</t>
        </is>
      </c>
      <c r="E267" s="17" t="n">
        <v>0</v>
      </c>
      <c r="F267" s="17" t="n">
        <v>20833.5</v>
      </c>
      <c r="G267" s="17">
        <f>((G266 + F267) - E267)</f>
        <v/>
      </c>
      <c r="H267" s="17" t="n">
        <v>25000</v>
      </c>
      <c r="I267" s="17" t="n">
        <v>4166.5</v>
      </c>
    </row>
    <row r="268" ht="10.95" customHeight="1" s="9">
      <c r="A268" s="15" t="n">
        <v>45822</v>
      </c>
      <c r="B268" s="16" t="inlineStr">
        <is>
          <t>Receivable Invoice</t>
        </is>
      </c>
      <c r="C268" s="16" t="inlineStr">
        <is>
          <t>Ridgeway University - Half day training - Microsoft Office</t>
        </is>
      </c>
      <c r="D268" s="16" t="inlineStr">
        <is>
          <t>RPT200-1</t>
        </is>
      </c>
      <c r="E268" s="17" t="n">
        <v>0</v>
      </c>
      <c r="F268" s="17" t="n">
        <v>20833.5</v>
      </c>
      <c r="G268" s="17">
        <f>((G267 + F268) - E268)</f>
        <v/>
      </c>
      <c r="H268" s="17" t="n">
        <v>25000</v>
      </c>
      <c r="I268" s="17" t="n">
        <v>4166.5</v>
      </c>
    </row>
    <row r="269" ht="10.95" customHeight="1" s="9">
      <c r="A269" s="15" t="n">
        <v>45853</v>
      </c>
      <c r="B269" s="16" t="inlineStr">
        <is>
          <t>Receivable Invoice</t>
        </is>
      </c>
      <c r="C269" s="16" t="inlineStr">
        <is>
          <t>Ridgeway University - Retainer for consulting work</t>
        </is>
      </c>
      <c r="D269" s="16" t="inlineStr">
        <is>
          <t>RPT200-1</t>
        </is>
      </c>
      <c r="E269" s="17" t="n">
        <v>0</v>
      </c>
      <c r="F269" s="17" t="n">
        <v>20833.5</v>
      </c>
      <c r="G269" s="17">
        <f>((G268 + F269) - E269)</f>
        <v/>
      </c>
      <c r="H269" s="17" t="n">
        <v>25000</v>
      </c>
      <c r="I269" s="17" t="n">
        <v>4166.5</v>
      </c>
    </row>
    <row r="270" ht="10.95" customHeight="1" s="9">
      <c r="A270" s="15" t="n">
        <v>45884</v>
      </c>
      <c r="B270" s="16" t="inlineStr">
        <is>
          <t>Receivable Invoice</t>
        </is>
      </c>
      <c r="C270" s="16" t="inlineStr">
        <is>
          <t>Ridgeway University - Retainer for consulting work</t>
        </is>
      </c>
      <c r="D270" s="16" t="inlineStr">
        <is>
          <t>RPT200-1</t>
        </is>
      </c>
      <c r="E270" s="17" t="n">
        <v>0</v>
      </c>
      <c r="F270" s="17" t="n">
        <v>20833.5</v>
      </c>
      <c r="G270" s="17">
        <f>((G269 + F270) - E270)</f>
        <v/>
      </c>
      <c r="H270" s="17" t="n">
        <v>25000</v>
      </c>
      <c r="I270" s="17" t="n">
        <v>4166.5</v>
      </c>
    </row>
    <row r="271" ht="10.95" customHeight="1" s="9">
      <c r="A271" s="15" t="n">
        <v>45914</v>
      </c>
      <c r="B271" s="16" t="inlineStr">
        <is>
          <t>Receivable Invoice</t>
        </is>
      </c>
      <c r="C271" s="16" t="inlineStr">
        <is>
          <t>Ridgeway University - Onsite project management p/hr</t>
        </is>
      </c>
      <c r="D271" s="16" t="inlineStr">
        <is>
          <t>RPT200-1</t>
        </is>
      </c>
      <c r="E271" s="17" t="n">
        <v>0</v>
      </c>
      <c r="F271" s="17" t="n">
        <v>41666.5</v>
      </c>
      <c r="G271" s="17">
        <f>((G270 + F271) - E271)</f>
        <v/>
      </c>
      <c r="H271" s="17" t="n">
        <v>50000</v>
      </c>
      <c r="I271" s="17" t="n">
        <v>8333.5</v>
      </c>
    </row>
    <row r="272" ht="10.95" customHeight="1" s="9">
      <c r="A272" s="15" t="n">
        <v>45914</v>
      </c>
      <c r="B272" s="16" t="inlineStr">
        <is>
          <t>Receivable Invoice</t>
        </is>
      </c>
      <c r="C272" s="16" t="inlineStr">
        <is>
          <t>Ridgeway University - Retainer for consulting work</t>
        </is>
      </c>
      <c r="D272" s="16" t="inlineStr">
        <is>
          <t>RPT200-1</t>
        </is>
      </c>
      <c r="E272" s="17" t="n">
        <v>0</v>
      </c>
      <c r="F272" s="17" t="n">
        <v>20833.5</v>
      </c>
      <c r="G272" s="17">
        <f>((G271 + F272) - E272)</f>
        <v/>
      </c>
      <c r="H272" s="17" t="n">
        <v>25000</v>
      </c>
      <c r="I272" s="17" t="n">
        <v>4166.5</v>
      </c>
    </row>
    <row r="273" ht="10.95" customHeight="1" s="9">
      <c r="A273" s="15" t="n">
        <v>45945</v>
      </c>
      <c r="B273" s="16" t="inlineStr">
        <is>
          <t>Receivable Invoice</t>
        </is>
      </c>
      <c r="C273" s="16" t="inlineStr">
        <is>
          <t>Ridgeway University - Retainer for consulting work</t>
        </is>
      </c>
      <c r="D273" s="16" t="inlineStr">
        <is>
          <t>RPT200-1</t>
        </is>
      </c>
      <c r="E273" s="17" t="n">
        <v>0</v>
      </c>
      <c r="F273" s="17" t="n">
        <v>20833.5</v>
      </c>
      <c r="G273" s="17">
        <f>((G272 + F273) - E273)</f>
        <v/>
      </c>
      <c r="H273" s="17" t="n">
        <v>25000</v>
      </c>
      <c r="I273" s="17" t="n">
        <v>4166.5</v>
      </c>
    </row>
    <row r="274" ht="10.95" customHeight="1" s="9">
      <c r="A274" s="15" t="n">
        <v>45975</v>
      </c>
      <c r="B274" s="16" t="inlineStr">
        <is>
          <t>Receivable Invoice</t>
        </is>
      </c>
      <c r="C274" s="16" t="inlineStr">
        <is>
          <t>Ridgeway University - Onsite project management p/hr</t>
        </is>
      </c>
      <c r="D274" s="16" t="inlineStr">
        <is>
          <t>RPT200-1</t>
        </is>
      </c>
      <c r="E274" s="17" t="n">
        <v>0</v>
      </c>
      <c r="F274" s="17" t="n">
        <v>29166.5</v>
      </c>
      <c r="G274" s="17">
        <f>((G273 + F274) - E274)</f>
        <v/>
      </c>
      <c r="H274" s="17" t="n">
        <v>35000</v>
      </c>
      <c r="I274" s="17" t="n">
        <v>5833.5</v>
      </c>
    </row>
    <row r="275" ht="10.95" customHeight="1" s="9">
      <c r="A275" s="15" t="n">
        <v>45975</v>
      </c>
      <c r="B275" s="16" t="inlineStr">
        <is>
          <t>Receivable Invoice</t>
        </is>
      </c>
      <c r="C275" s="16" t="inlineStr">
        <is>
          <t>Ridgeway University - Retainer for consulting work</t>
        </is>
      </c>
      <c r="D275" s="16" t="inlineStr">
        <is>
          <t>RPT200-1</t>
        </is>
      </c>
      <c r="E275" s="17" t="n">
        <v>0</v>
      </c>
      <c r="F275" s="17" t="n">
        <v>20833.5</v>
      </c>
      <c r="G275" s="17">
        <f>((G274 + F275) - E275)</f>
        <v/>
      </c>
      <c r="H275" s="17" t="n">
        <v>25000</v>
      </c>
      <c r="I275" s="17" t="n">
        <v>4166.5</v>
      </c>
    </row>
    <row r="276" ht="10.95" customHeight="1" s="9">
      <c r="A276" s="15" t="n">
        <v>46006</v>
      </c>
      <c r="B276" s="16" t="inlineStr">
        <is>
          <t>Receivable Invoice</t>
        </is>
      </c>
      <c r="C276" s="16" t="inlineStr">
        <is>
          <t>Ridgeway University - Retainer for consulting work</t>
        </is>
      </c>
      <c r="D276" s="16" t="inlineStr">
        <is>
          <t>RPT200-1</t>
        </is>
      </c>
      <c r="E276" s="17" t="n">
        <v>0</v>
      </c>
      <c r="F276" s="17" t="n">
        <v>20833.5</v>
      </c>
      <c r="G276" s="17">
        <f>((G275 + F276) - E276)</f>
        <v/>
      </c>
      <c r="H276" s="17" t="n">
        <v>25000</v>
      </c>
      <c r="I276" s="17" t="n">
        <v>4166.5</v>
      </c>
    </row>
    <row r="277" ht="10.95" customHeight="1" s="9">
      <c r="A277" s="15" t="n">
        <v>46015</v>
      </c>
      <c r="B277" s="16" t="inlineStr">
        <is>
          <t>Receivable Invoice</t>
        </is>
      </c>
      <c r="C277" s="16" t="inlineStr">
        <is>
          <t>Young Bros Transport - Desktop/network support via email &amp; phone.Per month fixed fee for minimum 20 hours/month.</t>
        </is>
      </c>
      <c r="D277" s="16" t="inlineStr">
        <is>
          <t>Monthly Support</t>
        </is>
      </c>
      <c r="E277" s="17" t="n">
        <v>0</v>
      </c>
      <c r="F277" s="17" t="n">
        <v>22552</v>
      </c>
      <c r="G277" s="17">
        <f>((G276 + F277) - E277)</f>
        <v/>
      </c>
      <c r="H277" s="17" t="n">
        <v>27062.5</v>
      </c>
      <c r="I277" s="17" t="n">
        <v>4510.5</v>
      </c>
    </row>
    <row r="278" ht="10.95" customHeight="1" s="9">
      <c r="A278" s="15" t="n">
        <v>46015</v>
      </c>
      <c r="B278" s="16" t="inlineStr">
        <is>
          <t>Receivable Invoice</t>
        </is>
      </c>
      <c r="C278" s="16" t="inlineStr">
        <is>
          <t>Rex Media Group - Desktop/network support via email &amp; phone.Per month fixed fee for minimum 20 hours/month.</t>
        </is>
      </c>
      <c r="D278" s="16" t="inlineStr">
        <is>
          <t>Monthly Support</t>
        </is>
      </c>
      <c r="E278" s="17" t="n">
        <v>0</v>
      </c>
      <c r="F278" s="17" t="n">
        <v>22552</v>
      </c>
      <c r="G278" s="17">
        <f>((G277 + F278) - E278)</f>
        <v/>
      </c>
      <c r="H278" s="17" t="n">
        <v>27062.5</v>
      </c>
      <c r="I278" s="17" t="n">
        <v>4510.5</v>
      </c>
    </row>
    <row r="279" ht="10.95" customHeight="1" s="9">
      <c r="A279" s="15" t="n">
        <v>46015</v>
      </c>
      <c r="B279" s="16" t="inlineStr">
        <is>
          <t>Receivable Invoice</t>
        </is>
      </c>
      <c r="C279" s="16" t="inlineStr">
        <is>
          <t>Hamilton Smith Ltd - Desktop/network support via email &amp; phone.Per month fixed fee for minimum 20 hours/month.</t>
        </is>
      </c>
      <c r="D279" s="16" t="inlineStr">
        <is>
          <t>Monthly Support</t>
        </is>
      </c>
      <c r="E279" s="17" t="n">
        <v>0</v>
      </c>
      <c r="F279" s="17" t="n">
        <v>22552</v>
      </c>
      <c r="G279" s="17">
        <f>((G278 + F279) - E279)</f>
        <v/>
      </c>
      <c r="H279" s="17" t="n">
        <v>27062.5</v>
      </c>
      <c r="I279" s="17" t="n">
        <v>4510.5</v>
      </c>
    </row>
    <row r="280" ht="10.95" customHeight="1" s="9">
      <c r="A280" s="15" t="n">
        <v>46015</v>
      </c>
      <c r="B280" s="16" t="inlineStr">
        <is>
          <t>Receivable Invoice</t>
        </is>
      </c>
      <c r="C280" s="16" t="inlineStr">
        <is>
          <t>Port &amp; Philip Freight - Desktop/network support via email &amp; phone.Per month fixed fee for minimum 20 hours/month.</t>
        </is>
      </c>
      <c r="D280" s="16" t="inlineStr">
        <is>
          <t>Monthly Support</t>
        </is>
      </c>
      <c r="E280" s="17" t="n">
        <v>0</v>
      </c>
      <c r="F280" s="17" t="n">
        <v>22552</v>
      </c>
      <c r="G280" s="17">
        <f>((G279 + F280) - E280)</f>
        <v/>
      </c>
      <c r="H280" s="17" t="n">
        <v>27062.5</v>
      </c>
      <c r="I280" s="17" t="n">
        <v>4510.5</v>
      </c>
    </row>
    <row r="281" ht="10.95" customHeight="1" s="9">
      <c r="A281" s="15" t="n">
        <v>46016</v>
      </c>
      <c r="B281" s="16" t="inlineStr">
        <is>
          <t>Receivable Invoice</t>
        </is>
      </c>
      <c r="C281" s="16" t="inlineStr">
        <is>
          <t>Hamilton Smith Ltd - Desktop/network support via email &amp; phone.Per month fixed fee for minimum 20 hours/month.</t>
        </is>
      </c>
      <c r="D281" s="16" t="inlineStr">
        <is>
          <t>Monthly Support</t>
        </is>
      </c>
      <c r="E281" s="17" t="n">
        <v>0</v>
      </c>
      <c r="F281" s="17" t="n">
        <v>22552</v>
      </c>
      <c r="G281" s="17">
        <f>((G280 + F281) - E281)</f>
        <v/>
      </c>
      <c r="H281" s="17" t="n">
        <v>27062.5</v>
      </c>
      <c r="I281" s="17" t="n">
        <v>4510.5</v>
      </c>
    </row>
    <row r="282" ht="10.95" customHeight="1" s="9">
      <c r="A282" s="15" t="n">
        <v>46017</v>
      </c>
      <c r="B282" s="16" t="inlineStr">
        <is>
          <t>Receivable Credit Note</t>
        </is>
      </c>
      <c r="C282" s="16" t="inlineStr">
        <is>
          <t>Hamilton Smith Ltd - Desktop/network support via email &amp; phone.Per month fixed fee for minimum 20 hours/month.</t>
        </is>
      </c>
      <c r="D282" s="16" t="inlineStr">
        <is>
          <t>Monthly Support</t>
        </is>
      </c>
      <c r="E282" s="17" t="n">
        <v>22552</v>
      </c>
      <c r="F282" s="17" t="n">
        <v>0</v>
      </c>
      <c r="G282" s="17">
        <f>((G281 + F282) - E282)</f>
        <v/>
      </c>
      <c r="H282" s="17" t="n">
        <v>-27062.5</v>
      </c>
      <c r="I282" s="17" t="n">
        <v>-4510.5</v>
      </c>
    </row>
    <row r="283" ht="10.95" customHeight="1" s="9">
      <c r="A283" s="15" t="n">
        <v>46018</v>
      </c>
      <c r="B283" s="16" t="inlineStr">
        <is>
          <t>Receivable Invoice</t>
        </is>
      </c>
      <c r="C283" s="16" t="inlineStr">
        <is>
          <t>City Limousines - Project management &amp; implementation - branding workshop with your team</t>
        </is>
      </c>
      <c r="D283" s="16" t="inlineStr">
        <is>
          <t>P/O 9711</t>
        </is>
      </c>
      <c r="E283" s="17" t="n">
        <v>0</v>
      </c>
      <c r="F283" s="17" t="n">
        <v>10416.5</v>
      </c>
      <c r="G283" s="17">
        <f>((G282 + F283) - E283)</f>
        <v/>
      </c>
      <c r="H283" s="17" t="n">
        <v>12500</v>
      </c>
      <c r="I283" s="17" t="n">
        <v>2083.5</v>
      </c>
    </row>
    <row r="284" ht="10.95" customHeight="1" s="9">
      <c r="A284" s="15" t="n">
        <v>46026</v>
      </c>
      <c r="B284" s="16" t="inlineStr">
        <is>
          <t>Receivable Invoice</t>
        </is>
      </c>
      <c r="C284" s="16" t="inlineStr">
        <is>
          <t>Bank West - Half day training - Microsoft Office - for your Customer Support Team (Session 1)</t>
        </is>
      </c>
      <c r="D284" s="16" t="inlineStr">
        <is>
          <t>Training</t>
        </is>
      </c>
      <c r="E284" s="17" t="n">
        <v>0</v>
      </c>
      <c r="F284" s="17" t="n">
        <v>20833.5</v>
      </c>
      <c r="G284" s="17">
        <f>((G283 + F284) - E284)</f>
        <v/>
      </c>
      <c r="H284" s="17" t="n">
        <v>25000</v>
      </c>
      <c r="I284" s="17" t="n">
        <v>4166.5</v>
      </c>
    </row>
    <row r="285" ht="10.95" customHeight="1" s="9">
      <c r="A285" s="15" t="n">
        <v>46026</v>
      </c>
      <c r="B285" s="16" t="inlineStr">
        <is>
          <t>Receivable Invoice</t>
        </is>
      </c>
      <c r="C285" s="16" t="inlineStr">
        <is>
          <t>Bank West - Half day training - Microsoft Office - for your Priority Mortgage Services Team (Session 3)</t>
        </is>
      </c>
      <c r="D285" s="16" t="inlineStr">
        <is>
          <t>Training</t>
        </is>
      </c>
      <c r="E285" s="17" t="n">
        <v>0</v>
      </c>
      <c r="F285" s="17" t="n">
        <v>20833.5</v>
      </c>
      <c r="G285" s="17">
        <f>((G284 + F285) - E285)</f>
        <v/>
      </c>
      <c r="H285" s="17" t="n">
        <v>25000</v>
      </c>
      <c r="I285" s="17" t="n">
        <v>4166.5</v>
      </c>
    </row>
    <row r="286" ht="10.95" customHeight="1" s="9">
      <c r="A286" s="15" t="n">
        <v>46026</v>
      </c>
      <c r="B286" s="16" t="inlineStr">
        <is>
          <t>Receivable Invoice</t>
        </is>
      </c>
      <c r="C286" s="16" t="inlineStr">
        <is>
          <t>Bank West - Half day training - Microsoft Office  - for your Lending Services Team (Session 2)</t>
        </is>
      </c>
      <c r="D286" s="16" t="inlineStr">
        <is>
          <t>Training</t>
        </is>
      </c>
      <c r="E286" s="17" t="n">
        <v>0</v>
      </c>
      <c r="F286" s="17" t="n">
        <v>20833.5</v>
      </c>
      <c r="G286" s="17">
        <f>((G285 + F286) - E286)</f>
        <v/>
      </c>
      <c r="H286" s="17" t="n">
        <v>25000</v>
      </c>
      <c r="I286" s="17" t="n">
        <v>4166.5</v>
      </c>
    </row>
    <row r="287" ht="10.95" customHeight="1" s="9">
      <c r="A287" s="15" t="n">
        <v>46037</v>
      </c>
      <c r="B287" s="16" t="inlineStr">
        <is>
          <t>Receivable Invoice</t>
        </is>
      </c>
      <c r="C287" s="16" t="inlineStr">
        <is>
          <t>Ridgeway University - Retainer for consulting work</t>
        </is>
      </c>
      <c r="D287" s="16" t="inlineStr">
        <is>
          <t>RPT200-1</t>
        </is>
      </c>
      <c r="E287" s="17" t="n">
        <v>0</v>
      </c>
      <c r="F287" s="17" t="n">
        <v>20833.5</v>
      </c>
      <c r="G287" s="17">
        <f>((G286 + F287) - E287)</f>
        <v/>
      </c>
      <c r="H287" s="17" t="n">
        <v>25000</v>
      </c>
      <c r="I287" s="17" t="n">
        <v>4166.5</v>
      </c>
    </row>
    <row r="288" ht="10.95" customHeight="1" s="9">
      <c r="A288" s="15" t="n">
        <v>46037</v>
      </c>
      <c r="B288" s="16" t="inlineStr">
        <is>
          <t>Receivable Invoice</t>
        </is>
      </c>
      <c r="C288" s="16" t="inlineStr">
        <is>
          <t>Ridgeway University - Onsite project management p/hr</t>
        </is>
      </c>
      <c r="D288" s="16" t="inlineStr">
        <is>
          <t>RPT200-1</t>
        </is>
      </c>
      <c r="E288" s="17" t="n">
        <v>0</v>
      </c>
      <c r="F288" s="17" t="n">
        <v>83333.5</v>
      </c>
      <c r="G288" s="17">
        <f>((G287 + F288) - E288)</f>
        <v/>
      </c>
      <c r="H288" s="17" t="n">
        <v>100000</v>
      </c>
      <c r="I288" s="17" t="n">
        <v>16666.5</v>
      </c>
    </row>
    <row r="289" ht="62.7" customHeight="1" s="9">
      <c r="A289" s="15" t="n">
        <v>46040</v>
      </c>
      <c r="B289" s="16" t="inlineStr">
        <is>
          <t>Receivable Invoice</t>
        </is>
      </c>
      <c r="C289" s="21" t="inlineStr">
        <is>
          <t>City Agency - Project management &amp; implementation - branding workshop with your team
========================
- 'Buzz Words' session with your Steering Group
- Analysis of current marketing materials
- Workshop on re-brand outcomes and stakeholder identification
- Analysis and presentation of findings to your Steering Group &amp; Board</t>
        </is>
      </c>
      <c r="D289" s="16" t="inlineStr">
        <is>
          <t>Workshop</t>
        </is>
      </c>
      <c r="E289" s="17" t="n">
        <v>0</v>
      </c>
      <c r="F289" s="17" t="n">
        <v>10416.5</v>
      </c>
      <c r="G289" s="17">
        <f>((G288 + F289) - E289)</f>
        <v/>
      </c>
      <c r="H289" s="17" t="n">
        <v>12500</v>
      </c>
      <c r="I289" s="17" t="n">
        <v>2083.5</v>
      </c>
    </row>
    <row r="290" ht="10.95" customHeight="1" s="9">
      <c r="A290" s="15" t="n">
        <v>46040</v>
      </c>
      <c r="B290" s="16" t="inlineStr">
        <is>
          <t>Receivable Invoice</t>
        </is>
      </c>
      <c r="C290" s="16" t="inlineStr">
        <is>
          <t>City Agency - Copies of 'Fish out of Water' text for your Branding Team</t>
        </is>
      </c>
      <c r="D290" s="16" t="inlineStr">
        <is>
          <t>Workshop</t>
        </is>
      </c>
      <c r="E290" s="17" t="n">
        <v>0</v>
      </c>
      <c r="F290" s="17" t="n">
        <v>3325</v>
      </c>
      <c r="G290" s="17">
        <f>((G289 + F290) - E290)</f>
        <v/>
      </c>
      <c r="H290" s="17" t="n">
        <v>3990</v>
      </c>
      <c r="I290" s="17" t="n">
        <v>665</v>
      </c>
    </row>
    <row r="291" ht="10.95" customHeight="1" s="9">
      <c r="A291" s="15" t="n">
        <v>46049</v>
      </c>
      <c r="B291" s="16" t="inlineStr">
        <is>
          <t>Receivable Invoice</t>
        </is>
      </c>
      <c r="C291" s="16" t="inlineStr">
        <is>
          <t>DIISR - Small Business Services - Project management &amp; implementation - branding workshop with your team</t>
        </is>
      </c>
      <c r="D291" s="16" t="inlineStr">
        <is>
          <t>Yr Ref W08-143</t>
        </is>
      </c>
      <c r="E291" s="17" t="n">
        <v>0</v>
      </c>
      <c r="F291" s="17" t="n">
        <v>10416.5</v>
      </c>
      <c r="G291" s="17">
        <f>((G290 + F291) - E291)</f>
        <v/>
      </c>
      <c r="H291" s="17" t="n">
        <v>12500</v>
      </c>
      <c r="I291" s="17" t="n">
        <v>2083.5</v>
      </c>
    </row>
    <row r="292" ht="10.95" customHeight="1" s="9">
      <c r="A292" s="15" t="n">
        <v>46049</v>
      </c>
      <c r="B292" s="16" t="inlineStr">
        <is>
          <t>Receivable Invoice</t>
        </is>
      </c>
      <c r="C292" s="16" t="inlineStr">
        <is>
          <t>DIISR - Small Business Services - Project management &amp; implementation - 'due diligence' stocktake of your project scope/schedule/implementation plan/outcome measures (hourly rate as agreed)</t>
        </is>
      </c>
      <c r="D292" s="16" t="inlineStr">
        <is>
          <t>Yr Ref W08-143</t>
        </is>
      </c>
      <c r="E292" s="17" t="n">
        <v>0</v>
      </c>
      <c r="F292" s="17" t="n">
        <v>25000</v>
      </c>
      <c r="G292" s="17">
        <f>((G291 + F292) - E292)</f>
        <v/>
      </c>
      <c r="H292" s="17" t="n">
        <v>30000</v>
      </c>
      <c r="I292" s="17" t="n">
        <v>5000</v>
      </c>
    </row>
    <row r="293" ht="10.95" customHeight="1" s="9">
      <c r="A293" s="15" t="n">
        <v>46049</v>
      </c>
      <c r="B293" s="16" t="inlineStr">
        <is>
          <t>Receivable Invoice</t>
        </is>
      </c>
      <c r="C293" s="16" t="inlineStr">
        <is>
          <t>City Limousines - Project management &amp; implementation - branding workshop with your team - follow up session</t>
        </is>
      </c>
      <c r="D293" s="16" t="inlineStr">
        <is>
          <t>P/O 9711</t>
        </is>
      </c>
      <c r="E293" s="17" t="n">
        <v>0</v>
      </c>
      <c r="F293" s="17" t="n">
        <v>10416.5</v>
      </c>
      <c r="G293" s="17">
        <f>((G292 + F293) - E293)</f>
        <v/>
      </c>
      <c r="H293" s="17" t="n">
        <v>12500</v>
      </c>
      <c r="I293" s="17" t="n">
        <v>2083.5</v>
      </c>
    </row>
    <row r="294" ht="10.95" customHeight="1" s="9">
      <c r="A294" s="15" t="n">
        <v>46054</v>
      </c>
      <c r="B294" s="16" t="inlineStr">
        <is>
          <t>Receivable Invoice</t>
        </is>
      </c>
      <c r="C294" s="16" t="inlineStr">
        <is>
          <t>City Limousines - Fish out of Water: Finding Your Brand'</t>
        </is>
      </c>
      <c r="D294" s="16" t="inlineStr">
        <is>
          <t>Book</t>
        </is>
      </c>
      <c r="E294" s="17" t="n">
        <v>0</v>
      </c>
      <c r="F294" s="17" t="n">
        <v>831</v>
      </c>
      <c r="G294" s="17">
        <f>((G293 + F294) - E294)</f>
        <v/>
      </c>
      <c r="H294" s="17" t="n">
        <v>997.5</v>
      </c>
      <c r="I294" s="17" t="n">
        <v>166.5</v>
      </c>
    </row>
    <row r="295" ht="10.95" customHeight="1" s="9">
      <c r="A295" s="15" t="n">
        <v>46067</v>
      </c>
      <c r="B295" s="16" t="inlineStr">
        <is>
          <t>Receivable Invoice</t>
        </is>
      </c>
      <c r="C295" s="16" t="inlineStr">
        <is>
          <t>Ridgeway University - Onsite project management for CRM Project 3 days/week</t>
        </is>
      </c>
      <c r="D295" s="16" t="inlineStr">
        <is>
          <t>P/O CRM08-12</t>
        </is>
      </c>
      <c r="E295" s="17" t="n">
        <v>0</v>
      </c>
      <c r="F295" s="17" t="n">
        <v>257812.5</v>
      </c>
      <c r="G295" s="17">
        <f>((G294 + F295) - E295)</f>
        <v/>
      </c>
      <c r="H295" s="17" t="n">
        <v>309375</v>
      </c>
      <c r="I295" s="17" t="n">
        <v>51562.5</v>
      </c>
    </row>
    <row r="296" ht="10.95" customHeight="1" s="9">
      <c r="A296" s="15" t="n">
        <v>46068</v>
      </c>
      <c r="B296" s="16" t="inlineStr">
        <is>
          <t>Receivable Invoice</t>
        </is>
      </c>
      <c r="C296" s="16" t="inlineStr">
        <is>
          <t>Boom FM - Half day training - Microsoft Office</t>
        </is>
      </c>
      <c r="D296" s="16" t="inlineStr">
        <is>
          <t>Training</t>
        </is>
      </c>
      <c r="E296" s="17" t="n">
        <v>0</v>
      </c>
      <c r="F296" s="17" t="n">
        <v>20833.5</v>
      </c>
      <c r="G296" s="17">
        <f>((G295 + F296) - E296)</f>
        <v/>
      </c>
      <c r="H296" s="17" t="n">
        <v>25000</v>
      </c>
      <c r="I296" s="17" t="n">
        <v>4166.5</v>
      </c>
    </row>
    <row r="297" ht="10.95" customHeight="1" s="9">
      <c r="A297" s="15" t="n">
        <v>46070</v>
      </c>
      <c r="B297" s="16" t="inlineStr">
        <is>
          <t>Receivable Invoice</t>
        </is>
      </c>
      <c r="C297" s="16" t="inlineStr">
        <is>
          <t>Petrie McLoud Watson &amp; Associates - Development work - developer onsite</t>
        </is>
      </c>
      <c r="D297" s="16" t="inlineStr">
        <is>
          <t>Portal Proj</t>
        </is>
      </c>
      <c r="E297" s="17" t="n">
        <v>0</v>
      </c>
      <c r="F297" s="17" t="n">
        <v>58635.5</v>
      </c>
      <c r="G297" s="17">
        <f>((G296 + F297) - E297)</f>
        <v/>
      </c>
      <c r="H297" s="17" t="n">
        <v>70362.5</v>
      </c>
      <c r="I297" s="17" t="n">
        <v>11727</v>
      </c>
    </row>
    <row r="298" ht="10.95" customHeight="1" s="9">
      <c r="A298" s="15" t="n">
        <v>46071</v>
      </c>
      <c r="B298" s="16" t="inlineStr">
        <is>
          <t>Receivable Invoice</t>
        </is>
      </c>
      <c r="C298" s="16" t="inlineStr">
        <is>
          <t>Boom FM - Half day training - Microsoft Office - operations staff (Session 2)</t>
        </is>
      </c>
      <c r="D298" s="16" t="inlineStr">
        <is>
          <t>Training</t>
        </is>
      </c>
      <c r="E298" s="17" t="n">
        <v>0</v>
      </c>
      <c r="F298" s="17" t="n">
        <v>20833.5</v>
      </c>
      <c r="G298" s="17">
        <f>((G297 + F298) - E298)</f>
        <v/>
      </c>
      <c r="H298" s="17" t="n">
        <v>25000</v>
      </c>
      <c r="I298" s="17" t="n">
        <v>4166.5</v>
      </c>
    </row>
    <row r="299" ht="10.95" customHeight="1" s="9">
      <c r="A299" s="15" t="n">
        <v>46071</v>
      </c>
      <c r="B299" s="16" t="inlineStr">
        <is>
          <t>Receivable Invoice</t>
        </is>
      </c>
      <c r="C299" s="16" t="inlineStr">
        <is>
          <t>Boom FM - Half day training - Microsoft Office - reception staff (Session 1)</t>
        </is>
      </c>
      <c r="D299" s="16" t="inlineStr">
        <is>
          <t>Training</t>
        </is>
      </c>
      <c r="E299" s="17" t="n">
        <v>0</v>
      </c>
      <c r="F299" s="17" t="n">
        <v>20833.5</v>
      </c>
      <c r="G299" s="17">
        <f>((G298 + F299) - E299)</f>
        <v/>
      </c>
      <c r="H299" s="17" t="n">
        <v>25000</v>
      </c>
      <c r="I299" s="17" t="n">
        <v>4166.5</v>
      </c>
    </row>
    <row r="300" ht="21.3" customHeight="1" s="9">
      <c r="A300" s="15" t="n">
        <v>46071</v>
      </c>
      <c r="B300" s="16" t="inlineStr">
        <is>
          <t>Receivable Credit Note</t>
        </is>
      </c>
      <c r="C300" s="21" t="inlineStr">
        <is>
          <t>Boom FM - CREDIT Half day training - Microsoft Office and include in suite of training
INV-0024</t>
        </is>
      </c>
      <c r="D300" s="16" t="inlineStr">
        <is>
          <t>Training</t>
        </is>
      </c>
      <c r="E300" s="17" t="n">
        <v>20833.5</v>
      </c>
      <c r="F300" s="17" t="n">
        <v>0</v>
      </c>
      <c r="G300" s="17">
        <f>((G299 + F300) - E300)</f>
        <v/>
      </c>
      <c r="H300" s="17" t="n">
        <v>-25000</v>
      </c>
      <c r="I300" s="17" t="n">
        <v>-4166.5</v>
      </c>
    </row>
    <row r="301" ht="10.95" customHeight="1" s="9">
      <c r="A301" s="15" t="n">
        <v>46075</v>
      </c>
      <c r="B301" s="16" t="inlineStr">
        <is>
          <t>Receivable Invoice</t>
        </is>
      </c>
      <c r="C301" s="16" t="inlineStr">
        <is>
          <t>Port &amp; Philip Freight - Project management &amp; implementation - branding workshop with your team</t>
        </is>
      </c>
      <c r="D301" s="16" t="inlineStr">
        <is>
          <t>INV-0041</t>
        </is>
      </c>
      <c r="E301" s="17" t="n">
        <v>0</v>
      </c>
      <c r="F301" s="17" t="n">
        <v>12500</v>
      </c>
      <c r="G301" s="17">
        <f>((G300 + F301) - E301)</f>
        <v/>
      </c>
      <c r="H301" s="17" t="n">
        <v>12500</v>
      </c>
      <c r="I301" s="17" t="n">
        <v>0</v>
      </c>
    </row>
    <row r="302" ht="10.95" customHeight="1" s="9">
      <c r="A302" s="15" t="n">
        <v>46076</v>
      </c>
      <c r="B302" s="16" t="inlineStr">
        <is>
          <t>Receivable Invoice</t>
        </is>
      </c>
      <c r="C302" s="16" t="inlineStr">
        <is>
          <t>Port &amp; Philip Freight - Fish out of Water: Finding Your Brand</t>
        </is>
      </c>
      <c r="D302" s="16" t="inlineStr">
        <is>
          <t>INV-0042</t>
        </is>
      </c>
      <c r="E302" s="17" t="n">
        <v>0</v>
      </c>
      <c r="F302" s="17" t="n">
        <v>99750</v>
      </c>
      <c r="G302" s="17">
        <f>((G301 + F302) - E302)</f>
        <v/>
      </c>
      <c r="H302" s="17" t="n">
        <v>99750</v>
      </c>
      <c r="I302" s="17" t="n">
        <v>0</v>
      </c>
    </row>
    <row r="303" ht="10.95" customHeight="1" s="9">
      <c r="A303" s="15" t="n">
        <v>46077</v>
      </c>
      <c r="B303" s="16" t="inlineStr">
        <is>
          <t>Receivable Invoice</t>
        </is>
      </c>
      <c r="C303" s="16" t="inlineStr">
        <is>
          <t>Port &amp; Philip Freight - Desktop/network support via email &amp; phone.Per month fixed fee for minimum 20 hours/month.</t>
        </is>
      </c>
      <c r="D303" s="16" t="inlineStr">
        <is>
          <t>Monthly Support</t>
        </is>
      </c>
      <c r="E303" s="17" t="n">
        <v>0</v>
      </c>
      <c r="F303" s="17" t="n">
        <v>22552</v>
      </c>
      <c r="G303" s="17">
        <f>((G302 + F303) - E303)</f>
        <v/>
      </c>
      <c r="H303" s="17" t="n">
        <v>27062.5</v>
      </c>
      <c r="I303" s="17" t="n">
        <v>4510.5</v>
      </c>
    </row>
    <row r="304" ht="10.95" customHeight="1" s="9">
      <c r="A304" s="15" t="n">
        <v>46077</v>
      </c>
      <c r="B304" s="16" t="inlineStr">
        <is>
          <t>Receivable Invoice</t>
        </is>
      </c>
      <c r="C304" s="16" t="inlineStr">
        <is>
          <t>Rex Media Group - Desktop/network support via email &amp; phone.Per month fixed fee for minimum 20 hours/month.</t>
        </is>
      </c>
      <c r="D304" s="16" t="inlineStr">
        <is>
          <t>Monthly Support</t>
        </is>
      </c>
      <c r="E304" s="17" t="n">
        <v>0</v>
      </c>
      <c r="F304" s="17" t="n">
        <v>22552</v>
      </c>
      <c r="G304" s="17">
        <f>((G303 + F304) - E304)</f>
        <v/>
      </c>
      <c r="H304" s="17" t="n">
        <v>27062.5</v>
      </c>
      <c r="I304" s="17" t="n">
        <v>4510.5</v>
      </c>
    </row>
    <row r="305" ht="10.95" customHeight="1" s="9">
      <c r="A305" s="15" t="n">
        <v>46077</v>
      </c>
      <c r="B305" s="16" t="inlineStr">
        <is>
          <t>Receivable Invoice</t>
        </is>
      </c>
      <c r="C305" s="16" t="inlineStr">
        <is>
          <t>Hamilton Smith Ltd - Desktop/network support via email &amp; phone.Per month fixed fee for minimum 20 hours/month.</t>
        </is>
      </c>
      <c r="D305" s="16" t="inlineStr">
        <is>
          <t>Monthly Support</t>
        </is>
      </c>
      <c r="E305" s="17" t="n">
        <v>0</v>
      </c>
      <c r="F305" s="17" t="n">
        <v>22552</v>
      </c>
      <c r="G305" s="17">
        <f>((G304 + F305) - E305)</f>
        <v/>
      </c>
      <c r="H305" s="17" t="n">
        <v>27062.5</v>
      </c>
      <c r="I305" s="17" t="n">
        <v>4510.5</v>
      </c>
    </row>
    <row r="306" ht="10.95" customHeight="1" s="9">
      <c r="A306" s="15" t="n">
        <v>46077</v>
      </c>
      <c r="B306" s="16" t="inlineStr">
        <is>
          <t>Receivable Invoice</t>
        </is>
      </c>
      <c r="C306" s="16" t="inlineStr">
        <is>
          <t>Young Bros Transport - Desktop/network support via email &amp; phone.Per month fixed fee for minimum 20 hours/month.</t>
        </is>
      </c>
      <c r="D306" s="16" t="inlineStr">
        <is>
          <t>Monthly Support</t>
        </is>
      </c>
      <c r="E306" s="17" t="n">
        <v>0</v>
      </c>
      <c r="F306" s="17" t="n">
        <v>22552</v>
      </c>
      <c r="G306" s="17">
        <f>((G305 + F306) - E306)</f>
        <v/>
      </c>
      <c r="H306" s="17" t="n">
        <v>27062.5</v>
      </c>
      <c r="I306" s="17" t="n">
        <v>4510.5</v>
      </c>
    </row>
    <row r="307" ht="10.95" customHeight="1" s="9">
      <c r="A307" s="15" t="n">
        <v>46078</v>
      </c>
      <c r="B307" s="16" t="inlineStr">
        <is>
          <t>Receivable Invoice</t>
        </is>
      </c>
      <c r="C307" s="16" t="inlineStr">
        <is>
          <t>DIISR - Small Business Services - Fish out of Water: Finding Your Brand'</t>
        </is>
      </c>
      <c r="D307" s="16" t="inlineStr">
        <is>
          <t>Yr Ref W08-143</t>
        </is>
      </c>
      <c r="E307" s="17" t="n">
        <v>0</v>
      </c>
      <c r="F307" s="17" t="n">
        <v>831</v>
      </c>
      <c r="G307" s="17">
        <f>((G306 + F307) - E307)</f>
        <v/>
      </c>
      <c r="H307" s="17" t="n">
        <v>997.5</v>
      </c>
      <c r="I307" s="17" t="n">
        <v>166.5</v>
      </c>
    </row>
    <row r="308" ht="10.95" customHeight="1" s="9">
      <c r="A308" s="15" t="n">
        <v>46078</v>
      </c>
      <c r="B308" s="16" t="inlineStr">
        <is>
          <t>Receivable Invoice</t>
        </is>
      </c>
      <c r="C308" s="16" t="inlineStr">
        <is>
          <t>DIISR - Small Business Services - Project management &amp; implementation - branding workshop with your team  - follow up</t>
        </is>
      </c>
      <c r="D308" s="16" t="inlineStr">
        <is>
          <t>Yr Ref W08-143</t>
        </is>
      </c>
      <c r="E308" s="17" t="n">
        <v>0</v>
      </c>
      <c r="F308" s="17" t="n">
        <v>10416.5</v>
      </c>
      <c r="G308" s="17">
        <f>((G307 + F308) - E308)</f>
        <v/>
      </c>
      <c r="H308" s="17" t="n">
        <v>12500</v>
      </c>
      <c r="I308" s="17" t="n">
        <v>2083.5</v>
      </c>
    </row>
    <row r="309" ht="10.95" customHeight="1" s="9">
      <c r="A309" s="18" t="inlineStr">
        <is>
          <t>Total Sales</t>
        </is>
      </c>
      <c r="B309" s="18" t="n"/>
      <c r="C309" s="18" t="n"/>
      <c r="D309" s="18" t="n"/>
      <c r="E309" s="19">
        <f>SUM(E265:E308)</f>
        <v/>
      </c>
      <c r="F309" s="19">
        <f>SUM(F265:F308)</f>
        <v/>
      </c>
      <c r="G309" s="19">
        <f>G308</f>
        <v/>
      </c>
      <c r="H309" s="19">
        <f>SUM(H265:H308)</f>
        <v/>
      </c>
      <c r="I309" s="19">
        <f>SUM(I265:I308)</f>
        <v/>
      </c>
    </row>
    <row r="310" ht="13.35" customHeight="1" s="9"/>
    <row r="311" ht="12.1" customFormat="1" customHeight="1" s="5">
      <c r="A311" s="20" t="inlineStr">
        <is>
          <t>Subscriptions</t>
        </is>
      </c>
      <c r="B311" s="20" t="n"/>
      <c r="C311" s="20" t="n"/>
      <c r="D311" s="20" t="n"/>
      <c r="E311" s="20" t="n"/>
      <c r="F311" s="20" t="n"/>
      <c r="G311" s="20" t="n"/>
      <c r="H311" s="20" t="n"/>
      <c r="I311" s="20" t="n"/>
    </row>
    <row r="312" ht="10.95" customHeight="1" s="9">
      <c r="A312" s="12" t="n">
        <v>46040</v>
      </c>
      <c r="B312" s="13" t="inlineStr">
        <is>
          <t>Payable Invoice</t>
        </is>
      </c>
      <c r="C312" s="13" t="inlineStr">
        <is>
          <t>PC Complete - Webrrls Club sub</t>
        </is>
      </c>
      <c r="D312" s="13" t="inlineStr">
        <is>
          <t>720-2</t>
        </is>
      </c>
      <c r="E312" s="14" t="n">
        <v>60995</v>
      </c>
      <c r="F312" s="14" t="n">
        <v>0</v>
      </c>
      <c r="G312" s="14">
        <f>(E312 - F312)</f>
        <v/>
      </c>
      <c r="H312" s="14" t="n">
        <v>73194</v>
      </c>
      <c r="I312" s="14" t="n">
        <v>12199</v>
      </c>
    </row>
    <row r="313" ht="10.95" customHeight="1" s="9">
      <c r="A313" s="18" t="inlineStr">
        <is>
          <t>Total Subscriptions</t>
        </is>
      </c>
      <c r="B313" s="18" t="n"/>
      <c r="C313" s="18" t="n"/>
      <c r="D313" s="18" t="n"/>
      <c r="E313" s="19">
        <f>E312</f>
        <v/>
      </c>
      <c r="F313" s="19">
        <f>F312</f>
        <v/>
      </c>
      <c r="G313" s="19">
        <f>G312</f>
        <v/>
      </c>
      <c r="H313" s="19">
        <f>H312</f>
        <v/>
      </c>
      <c r="I313" s="19">
        <f>I312</f>
        <v/>
      </c>
    </row>
    <row r="314" ht="13.35" customHeight="1" s="9"/>
    <row r="315" ht="12.1" customFormat="1" customHeight="1" s="5">
      <c r="A315" s="20" t="inlineStr">
        <is>
          <t>Telephone &amp; Internet</t>
        </is>
      </c>
      <c r="B315" s="20" t="n"/>
      <c r="C315" s="20" t="n"/>
      <c r="D315" s="20" t="n"/>
      <c r="E315" s="20" t="n"/>
      <c r="F315" s="20" t="n"/>
      <c r="G315" s="20" t="n"/>
      <c r="H315" s="20" t="n"/>
      <c r="I315" s="20" t="n"/>
    </row>
    <row r="316" ht="10.95" customHeight="1" s="9">
      <c r="A316" s="12" t="n">
        <v>46010</v>
      </c>
      <c r="B316" s="13" t="inlineStr">
        <is>
          <t>Payable Invoice</t>
        </is>
      </c>
      <c r="C316" s="13" t="inlineStr">
        <is>
          <t>Net Connect - Cable internet</t>
        </is>
      </c>
      <c r="D316" s="13" t="inlineStr">
        <is>
          <t>RPT489-1</t>
        </is>
      </c>
      <c r="E316" s="14" t="n">
        <v>1871.5</v>
      </c>
      <c r="F316" s="14" t="n">
        <v>0</v>
      </c>
      <c r="G316" s="14">
        <f>(E316 - F316)</f>
        <v/>
      </c>
      <c r="H316" s="14" t="n">
        <v>2246</v>
      </c>
      <c r="I316" s="14" t="n">
        <v>374.5</v>
      </c>
    </row>
    <row r="317" ht="10.95" customHeight="1" s="9">
      <c r="A317" s="15" t="n">
        <v>46041</v>
      </c>
      <c r="B317" s="16" t="inlineStr">
        <is>
          <t>Payable Invoice</t>
        </is>
      </c>
      <c r="C317" s="16" t="inlineStr">
        <is>
          <t>Net Connect - Cable internet</t>
        </is>
      </c>
      <c r="D317" s="16" t="inlineStr">
        <is>
          <t>RPT489-1</t>
        </is>
      </c>
      <c r="E317" s="17" t="n">
        <v>1951</v>
      </c>
      <c r="F317" s="17" t="n">
        <v>0</v>
      </c>
      <c r="G317" s="17">
        <f>((G316 + E317) - F317)</f>
        <v/>
      </c>
      <c r="H317" s="17" t="n">
        <v>2341</v>
      </c>
      <c r="I317" s="17" t="n">
        <v>390</v>
      </c>
    </row>
    <row r="318" ht="10.95" customHeight="1" s="9">
      <c r="A318" s="15" t="n">
        <v>46069</v>
      </c>
      <c r="B318" s="16" t="inlineStr">
        <is>
          <t>Payable Invoice</t>
        </is>
      </c>
      <c r="C318" s="16" t="inlineStr">
        <is>
          <t>Net Connect - Cable internet</t>
        </is>
      </c>
      <c r="D318" s="16" t="inlineStr">
        <is>
          <t>RPT489-1</t>
        </is>
      </c>
      <c r="E318" s="17" t="n">
        <v>2146</v>
      </c>
      <c r="F318" s="17" t="n">
        <v>0</v>
      </c>
      <c r="G318" s="17">
        <f>((G317 + E318) - F318)</f>
        <v/>
      </c>
      <c r="H318" s="17" t="n">
        <v>2575</v>
      </c>
      <c r="I318" s="17" t="n">
        <v>429</v>
      </c>
    </row>
    <row r="319" ht="10.95" customHeight="1" s="9">
      <c r="A319" s="18" t="inlineStr">
        <is>
          <t>Total Telephone &amp; Internet</t>
        </is>
      </c>
      <c r="B319" s="18" t="n"/>
      <c r="C319" s="18" t="n"/>
      <c r="D319" s="18" t="n"/>
      <c r="E319" s="19">
        <f>SUM(E316:E318)</f>
        <v/>
      </c>
      <c r="F319" s="19">
        <f>SUM(F316:F318)</f>
        <v/>
      </c>
      <c r="G319" s="19">
        <f>G318</f>
        <v/>
      </c>
      <c r="H319" s="19">
        <f>SUM(H316:H318)</f>
        <v/>
      </c>
      <c r="I319" s="19">
        <f>SUM(I316:I318)</f>
        <v/>
      </c>
    </row>
    <row r="320" ht="13.35" customHeight="1" s="9"/>
    <row r="321" ht="12.1" customFormat="1" customHeight="1" s="5">
      <c r="A321" s="8" t="inlineStr">
        <is>
          <t>Tracking Transfers</t>
        </is>
      </c>
      <c r="B321" s="8" t="n"/>
      <c r="C321" s="8" t="n"/>
      <c r="D321" s="8" t="n"/>
      <c r="E321" s="8" t="n"/>
      <c r="F321" s="8" t="n"/>
      <c r="G321" s="8" t="n"/>
      <c r="H321" s="8" t="n"/>
      <c r="I321" s="8" t="n"/>
    </row>
    <row r="322" ht="10.95" customHeight="1" s="9">
      <c r="A322" s="10" t="inlineStr">
        <is>
          <t>Opening Balance</t>
        </is>
      </c>
      <c r="B322" s="10" t="n"/>
      <c r="C322" s="10" t="n"/>
      <c r="D322" s="10" t="n"/>
      <c r="E322" s="11" t="n">
        <v>0</v>
      </c>
      <c r="F322" s="11" t="n">
        <v>0</v>
      </c>
      <c r="G322" s="11">
        <f>(F322 - E322)</f>
        <v/>
      </c>
      <c r="H322" s="11" t="n">
        <v>0</v>
      </c>
      <c r="I322" s="11" t="n">
        <v>0</v>
      </c>
    </row>
    <row r="323" ht="10.95" customHeight="1" s="9">
      <c r="A323" s="12" t="n">
        <v>46017</v>
      </c>
      <c r="B323" s="13" t="inlineStr">
        <is>
          <t>Receivable Credit Note Allocation</t>
        </is>
      </c>
      <c r="C323" s="13" t="inlineStr">
        <is>
          <t>Hamilton Smith Ltd</t>
        </is>
      </c>
      <c r="D323" s="13" t="inlineStr">
        <is>
          <t>Monthly Support</t>
        </is>
      </c>
      <c r="E323" s="14" t="n">
        <v>0</v>
      </c>
      <c r="F323" s="14" t="n">
        <v>27062.5</v>
      </c>
      <c r="G323" s="14">
        <f>((G322 + F323) - E323)</f>
        <v/>
      </c>
      <c r="H323" s="14" t="n">
        <v>27062.5</v>
      </c>
      <c r="I323" s="14" t="n">
        <v>0</v>
      </c>
    </row>
    <row r="324" ht="10.95" customHeight="1" s="9">
      <c r="A324" s="15" t="n">
        <v>46017</v>
      </c>
      <c r="B324" s="16" t="inlineStr">
        <is>
          <t>Receivable Credit Note Allocation</t>
        </is>
      </c>
      <c r="C324" s="16" t="inlineStr">
        <is>
          <t>Hamilton Smith Ltd</t>
        </is>
      </c>
      <c r="D324" s="16" t="inlineStr">
        <is>
          <t>Monthly Support</t>
        </is>
      </c>
      <c r="E324" s="17" t="n">
        <v>27062.5</v>
      </c>
      <c r="F324" s="17" t="n">
        <v>0</v>
      </c>
      <c r="G324" s="17">
        <f>((G323 + F324) - E324)</f>
        <v/>
      </c>
      <c r="H324" s="17" t="n">
        <v>-27062.5</v>
      </c>
      <c r="I324" s="17" t="n">
        <v>0</v>
      </c>
    </row>
    <row r="325" ht="10.95" customHeight="1" s="9">
      <c r="A325" s="15" t="n">
        <v>46039</v>
      </c>
      <c r="B325" s="16" t="inlineStr">
        <is>
          <t>Payable Credit Note Allocation</t>
        </is>
      </c>
      <c r="C325" s="16" t="inlineStr">
        <is>
          <t>Swanston Security</t>
        </is>
      </c>
      <c r="D325" s="16" t="inlineStr">
        <is>
          <t>RPT429-1</t>
        </is>
      </c>
      <c r="E325" s="17" t="n">
        <v>1272</v>
      </c>
      <c r="F325" s="17" t="n">
        <v>0</v>
      </c>
      <c r="G325" s="17">
        <f>((G324 + F325) - E325)</f>
        <v/>
      </c>
      <c r="H325" s="17" t="n">
        <v>-1272</v>
      </c>
      <c r="I325" s="17" t="n">
        <v>0</v>
      </c>
    </row>
    <row r="326" ht="10.95" customHeight="1" s="9">
      <c r="A326" s="15" t="n">
        <v>46039</v>
      </c>
      <c r="B326" s="16" t="inlineStr">
        <is>
          <t>Payable Credit Note Allocation</t>
        </is>
      </c>
      <c r="C326" s="16" t="inlineStr">
        <is>
          <t>Swanston Security</t>
        </is>
      </c>
      <c r="D326" s="16" t="inlineStr">
        <is>
          <t>RPT429-1</t>
        </is>
      </c>
      <c r="E326" s="17" t="n">
        <v>0</v>
      </c>
      <c r="F326" s="17" t="n">
        <v>1272</v>
      </c>
      <c r="G326" s="17">
        <f>((G325 + F326) - E326)</f>
        <v/>
      </c>
      <c r="H326" s="17" t="n">
        <v>1272</v>
      </c>
      <c r="I326" s="17" t="n">
        <v>0</v>
      </c>
    </row>
    <row r="327" ht="10.95" customHeight="1" s="9">
      <c r="A327" s="15" t="n">
        <v>46043</v>
      </c>
      <c r="B327" s="16" t="inlineStr">
        <is>
          <t>Payable Credit Note Allocation</t>
        </is>
      </c>
      <c r="C327" s="16" t="inlineStr">
        <is>
          <t>PC Complete</t>
        </is>
      </c>
      <c r="D327" s="16" t="inlineStr">
        <is>
          <t>720-2</t>
        </is>
      </c>
      <c r="E327" s="17" t="n">
        <v>13518</v>
      </c>
      <c r="F327" s="17" t="n">
        <v>0</v>
      </c>
      <c r="G327" s="17">
        <f>((G326 + F327) - E327)</f>
        <v/>
      </c>
      <c r="H327" s="17" t="n">
        <v>-13518</v>
      </c>
      <c r="I327" s="17" t="n">
        <v>0</v>
      </c>
    </row>
    <row r="328" ht="10.95" customHeight="1" s="9">
      <c r="A328" s="15" t="n">
        <v>46043</v>
      </c>
      <c r="B328" s="16" t="inlineStr">
        <is>
          <t>Payable Credit Note Allocation</t>
        </is>
      </c>
      <c r="C328" s="16" t="inlineStr">
        <is>
          <t>PC Complete</t>
        </is>
      </c>
      <c r="D328" s="16" t="inlineStr">
        <is>
          <t>720-2</t>
        </is>
      </c>
      <c r="E328" s="17" t="n">
        <v>0</v>
      </c>
      <c r="F328" s="17" t="n">
        <v>13518</v>
      </c>
      <c r="G328" s="17">
        <f>((G327 + F328) - E328)</f>
        <v/>
      </c>
      <c r="H328" s="17" t="n">
        <v>13518</v>
      </c>
      <c r="I328" s="17" t="n">
        <v>0</v>
      </c>
    </row>
    <row r="329" ht="10.95" customHeight="1" s="9">
      <c r="A329" s="15" t="n">
        <v>46071</v>
      </c>
      <c r="B329" s="16" t="inlineStr">
        <is>
          <t>Receivable Credit Note Allocation</t>
        </is>
      </c>
      <c r="C329" s="16" t="inlineStr">
        <is>
          <t>Boom FM</t>
        </is>
      </c>
      <c r="D329" s="16" t="inlineStr">
        <is>
          <t>Training</t>
        </is>
      </c>
      <c r="E329" s="17" t="n">
        <v>0</v>
      </c>
      <c r="F329" s="17" t="n">
        <v>25000</v>
      </c>
      <c r="G329" s="17">
        <f>((G328 + F329) - E329)</f>
        <v/>
      </c>
      <c r="H329" s="17" t="n">
        <v>25000</v>
      </c>
      <c r="I329" s="17" t="n">
        <v>0</v>
      </c>
    </row>
    <row r="330" ht="10.95" customHeight="1" s="9">
      <c r="A330" s="15" t="n">
        <v>46071</v>
      </c>
      <c r="B330" s="16" t="inlineStr">
        <is>
          <t>Receivable Credit Note Allocation</t>
        </is>
      </c>
      <c r="C330" s="16" t="inlineStr">
        <is>
          <t>Boom FM</t>
        </is>
      </c>
      <c r="D330" s="16" t="inlineStr">
        <is>
          <t>Training</t>
        </is>
      </c>
      <c r="E330" s="17" t="n">
        <v>25000</v>
      </c>
      <c r="F330" s="17" t="n">
        <v>0</v>
      </c>
      <c r="G330" s="17">
        <f>((G329 + F330) - E330)</f>
        <v/>
      </c>
      <c r="H330" s="17" t="n">
        <v>-25000</v>
      </c>
      <c r="I330" s="17" t="n">
        <v>0</v>
      </c>
    </row>
    <row r="331" ht="10.95" customHeight="1" s="9">
      <c r="A331" s="18" t="inlineStr">
        <is>
          <t>Total Tracking Transfers</t>
        </is>
      </c>
      <c r="B331" s="18" t="n"/>
      <c r="C331" s="18" t="n"/>
      <c r="D331" s="18" t="n"/>
      <c r="E331" s="19">
        <f>SUM(E323:E330)</f>
        <v/>
      </c>
      <c r="F331" s="19">
        <f>SUM(F323:F330)</f>
        <v/>
      </c>
      <c r="G331" s="19">
        <f>G330</f>
        <v/>
      </c>
      <c r="H331" s="19">
        <f>SUM(H323:H330)</f>
        <v/>
      </c>
      <c r="I331" s="19">
        <f>SUM(I323:I330)</f>
        <v/>
      </c>
    </row>
    <row r="332" ht="10.95" customHeight="1" s="9">
      <c r="A332" s="10" t="inlineStr">
        <is>
          <t>Closing Balance</t>
        </is>
      </c>
      <c r="B332" s="10" t="n"/>
      <c r="C332" s="10" t="n"/>
      <c r="D332" s="10" t="n"/>
      <c r="E332" s="11" t="n">
        <v>0</v>
      </c>
      <c r="F332" s="11" t="n">
        <v>0</v>
      </c>
      <c r="G332" s="11">
        <f>G330</f>
        <v/>
      </c>
      <c r="H332" s="11" t="n">
        <v>0</v>
      </c>
      <c r="I332" s="11" t="n">
        <v>0</v>
      </c>
    </row>
    <row r="333" ht="13.35" customHeight="1" s="9"/>
    <row r="334" ht="12.1" customFormat="1" customHeight="1" s="5">
      <c r="A334" s="20" t="inlineStr">
        <is>
          <t>Travel - National</t>
        </is>
      </c>
      <c r="B334" s="20" t="n"/>
      <c r="C334" s="20" t="n"/>
      <c r="D334" s="20" t="n"/>
      <c r="E334" s="20" t="n"/>
      <c r="F334" s="20" t="n"/>
      <c r="G334" s="20" t="n"/>
      <c r="H334" s="20" t="n"/>
      <c r="I334" s="20" t="n"/>
    </row>
    <row r="335" ht="10.95" customHeight="1" s="9">
      <c r="A335" s="12" t="n">
        <v>46036</v>
      </c>
      <c r="B335" s="13" t="inlineStr">
        <is>
          <t>Expense Claim</t>
        </is>
      </c>
      <c r="C335" s="13" t="inlineStr">
        <is>
          <t>Xero Demo - Breakfast before MRE conference</t>
        </is>
      </c>
      <c r="D335" s="13" t="n"/>
      <c r="E335" s="14" t="n">
        <v>704</v>
      </c>
      <c r="F335" s="14" t="n">
        <v>0</v>
      </c>
      <c r="G335" s="14">
        <f>(E335 - F335)</f>
        <v/>
      </c>
      <c r="H335" s="14" t="n">
        <v>845</v>
      </c>
      <c r="I335" s="14" t="n">
        <v>141</v>
      </c>
    </row>
    <row r="336" ht="10.95" customHeight="1" s="9">
      <c r="A336" s="15" t="n">
        <v>46036</v>
      </c>
      <c r="B336" s="16" t="inlineStr">
        <is>
          <t>Expense Claim</t>
        </is>
      </c>
      <c r="C336" s="16" t="inlineStr">
        <is>
          <t>Xero Demo - Parking for MRE conference</t>
        </is>
      </c>
      <c r="D336" s="16" t="n"/>
      <c r="E336" s="17" t="n">
        <v>750</v>
      </c>
      <c r="F336" s="17" t="n">
        <v>0</v>
      </c>
      <c r="G336" s="17">
        <f>((G335 + E336) - F336)</f>
        <v/>
      </c>
      <c r="H336" s="17" t="n">
        <v>900</v>
      </c>
      <c r="I336" s="17" t="n">
        <v>150</v>
      </c>
    </row>
    <row r="337" ht="10.95" customHeight="1" s="9">
      <c r="A337" s="18" t="inlineStr">
        <is>
          <t>Total Travel - National</t>
        </is>
      </c>
      <c r="B337" s="18" t="n"/>
      <c r="C337" s="18" t="n"/>
      <c r="D337" s="18" t="n"/>
      <c r="E337" s="19">
        <f>SUM(E335:E336)</f>
        <v/>
      </c>
      <c r="F337" s="19">
        <f>SUM(F335:F336)</f>
        <v/>
      </c>
      <c r="G337" s="19">
        <f>G336</f>
        <v/>
      </c>
      <c r="H337" s="19">
        <f>SUM(H335:H336)</f>
        <v/>
      </c>
      <c r="I337" s="19">
        <f>SUM(I335:I336)</f>
        <v/>
      </c>
    </row>
    <row r="338" ht="13.35" customHeight="1" s="9"/>
    <row r="339" ht="12.1" customFormat="1" customHeight="1" s="5">
      <c r="A339" s="8" t="inlineStr">
        <is>
          <t>Unpaid Expense Claims</t>
        </is>
      </c>
      <c r="B339" s="8" t="n"/>
      <c r="C339" s="8" t="n"/>
      <c r="D339" s="8" t="n"/>
      <c r="E339" s="8" t="n"/>
      <c r="F339" s="8" t="n"/>
      <c r="G339" s="8" t="n"/>
      <c r="H339" s="8" t="n"/>
      <c r="I339" s="8" t="n"/>
    </row>
    <row r="340" ht="10.95" customHeight="1" s="9">
      <c r="A340" s="10" t="inlineStr">
        <is>
          <t>Opening Balance</t>
        </is>
      </c>
      <c r="B340" s="10" t="n"/>
      <c r="C340" s="10" t="n"/>
      <c r="D340" s="10" t="n"/>
      <c r="E340" s="11" t="n">
        <v>0</v>
      </c>
      <c r="F340" s="11" t="n">
        <v>0</v>
      </c>
      <c r="G340" s="11">
        <f>(F340 - E340)</f>
        <v/>
      </c>
      <c r="H340" s="11" t="n">
        <v>0</v>
      </c>
      <c r="I340" s="11" t="n">
        <v>0</v>
      </c>
    </row>
    <row r="341" ht="10.95" customHeight="1" s="9">
      <c r="A341" s="12" t="n">
        <v>46036</v>
      </c>
      <c r="B341" s="13" t="inlineStr">
        <is>
          <t>Expense Claim</t>
        </is>
      </c>
      <c r="C341" s="13" t="inlineStr">
        <is>
          <t>Xero Demo</t>
        </is>
      </c>
      <c r="D341" s="13" t="n"/>
      <c r="E341" s="14" t="n">
        <v>0</v>
      </c>
      <c r="F341" s="14" t="n">
        <v>1745</v>
      </c>
      <c r="G341" s="14">
        <f>((G340 + F341) - E341)</f>
        <v/>
      </c>
      <c r="H341" s="14" t="n">
        <v>1745</v>
      </c>
      <c r="I341" s="14" t="n">
        <v>0</v>
      </c>
    </row>
    <row r="342" ht="10.95" customHeight="1" s="9">
      <c r="A342" s="18" t="inlineStr">
        <is>
          <t>Total Unpaid Expense Claims</t>
        </is>
      </c>
      <c r="B342" s="18" t="n"/>
      <c r="C342" s="18" t="n"/>
      <c r="D342" s="18" t="n"/>
      <c r="E342" s="19">
        <f>E341</f>
        <v/>
      </c>
      <c r="F342" s="19">
        <f>F341</f>
        <v/>
      </c>
      <c r="G342" s="19">
        <f>G341</f>
        <v/>
      </c>
      <c r="H342" s="19">
        <f>H341</f>
        <v/>
      </c>
      <c r="I342" s="19">
        <f>I341</f>
        <v/>
      </c>
    </row>
    <row r="343" ht="10.95" customHeight="1" s="9">
      <c r="A343" s="10" t="inlineStr">
        <is>
          <t>Closing Balance</t>
        </is>
      </c>
      <c r="B343" s="10" t="n"/>
      <c r="C343" s="10" t="n"/>
      <c r="D343" s="10" t="n"/>
      <c r="E343" s="11" t="n">
        <v>0</v>
      </c>
      <c r="F343" s="11" t="n">
        <v>1745</v>
      </c>
      <c r="G343" s="11">
        <f>G341</f>
        <v/>
      </c>
      <c r="H343" s="11" t="n">
        <v>0</v>
      </c>
      <c r="I343" s="11" t="n">
        <v>0</v>
      </c>
    </row>
    <row r="344" ht="13.35" customHeight="1" s="9"/>
    <row r="345" ht="12.1" customFormat="1" customHeight="1" s="5">
      <c r="A345" s="8" t="inlineStr">
        <is>
          <t>VAT</t>
        </is>
      </c>
      <c r="B345" s="8" t="n"/>
      <c r="C345" s="8" t="n"/>
      <c r="D345" s="8" t="n"/>
      <c r="E345" s="8" t="n"/>
      <c r="F345" s="8" t="n"/>
      <c r="G345" s="8" t="n"/>
      <c r="H345" s="8" t="n"/>
      <c r="I345" s="8" t="n"/>
    </row>
    <row r="346" ht="10.95" customHeight="1" s="9">
      <c r="A346" s="10" t="inlineStr">
        <is>
          <t>Opening Balance</t>
        </is>
      </c>
      <c r="B346" s="10" t="n"/>
      <c r="C346" s="10" t="n"/>
      <c r="D346" s="10" t="n"/>
      <c r="E346" s="11" t="n">
        <v>82181</v>
      </c>
      <c r="F346" s="11" t="n">
        <v>0</v>
      </c>
      <c r="G346" s="11">
        <f>(F346 - E346)</f>
        <v/>
      </c>
      <c r="H346" s="11" t="n">
        <v>0</v>
      </c>
      <c r="I346" s="11" t="n">
        <v>0</v>
      </c>
    </row>
    <row r="347" ht="10.95" customHeight="1" s="9">
      <c r="A347" s="12" t="n">
        <v>45761</v>
      </c>
      <c r="B347" s="13" t="inlineStr">
        <is>
          <t>Receivable Invoice</t>
        </is>
      </c>
      <c r="C347" s="13" t="inlineStr">
        <is>
          <t>Ridgeway University</t>
        </is>
      </c>
      <c r="D347" s="13" t="inlineStr">
        <is>
          <t>RPT200-1</t>
        </is>
      </c>
      <c r="E347" s="14" t="n">
        <v>0</v>
      </c>
      <c r="F347" s="14" t="n">
        <v>4166.5</v>
      </c>
      <c r="G347" s="14">
        <f>((G346 + F347) - E347)</f>
        <v/>
      </c>
      <c r="H347" s="14" t="n">
        <v>4166.5</v>
      </c>
      <c r="I347" s="14" t="n">
        <v>0</v>
      </c>
    </row>
    <row r="348" ht="10.95" customHeight="1" s="9">
      <c r="A348" s="15" t="n">
        <v>45763</v>
      </c>
      <c r="B348" s="16" t="inlineStr">
        <is>
          <t>Payable Invoice</t>
        </is>
      </c>
      <c r="C348" s="16" t="inlineStr">
        <is>
          <t>PowerDirect</t>
        </is>
      </c>
      <c r="D348" s="16" t="inlineStr">
        <is>
          <t>RPT445-1</t>
        </is>
      </c>
      <c r="E348" s="17" t="n">
        <v>231</v>
      </c>
      <c r="F348" s="17" t="n">
        <v>0</v>
      </c>
      <c r="G348" s="17">
        <f>((G347 + F348) - E348)</f>
        <v/>
      </c>
      <c r="H348" s="17" t="n">
        <v>-231</v>
      </c>
      <c r="I348" s="17" t="n">
        <v>0</v>
      </c>
    </row>
    <row r="349" ht="10.95" customHeight="1" s="9">
      <c r="A349" s="15" t="n">
        <v>45792</v>
      </c>
      <c r="B349" s="16" t="inlineStr">
        <is>
          <t>Receivable Invoice</t>
        </is>
      </c>
      <c r="C349" s="16" t="inlineStr">
        <is>
          <t>Ridgeway University</t>
        </is>
      </c>
      <c r="D349" s="16" t="inlineStr">
        <is>
          <t>RPT200-1</t>
        </is>
      </c>
      <c r="E349" s="17" t="n">
        <v>0</v>
      </c>
      <c r="F349" s="17" t="n">
        <v>4166.5</v>
      </c>
      <c r="G349" s="17">
        <f>((G348 + F349) - E349)</f>
        <v/>
      </c>
      <c r="H349" s="17" t="n">
        <v>4166.5</v>
      </c>
      <c r="I349" s="17" t="n">
        <v>0</v>
      </c>
    </row>
    <row r="350" ht="10.95" customHeight="1" s="9">
      <c r="A350" s="15" t="n">
        <v>45794</v>
      </c>
      <c r="B350" s="16" t="inlineStr">
        <is>
          <t>Payable Invoice</t>
        </is>
      </c>
      <c r="C350" s="16" t="inlineStr">
        <is>
          <t>PowerDirect</t>
        </is>
      </c>
      <c r="D350" s="16" t="inlineStr">
        <is>
          <t>RPT445-1</t>
        </is>
      </c>
      <c r="E350" s="17" t="n">
        <v>219</v>
      </c>
      <c r="F350" s="17" t="n">
        <v>0</v>
      </c>
      <c r="G350" s="17">
        <f>((G349 + F350) - E350)</f>
        <v/>
      </c>
      <c r="H350" s="17" t="n">
        <v>-219</v>
      </c>
      <c r="I350" s="17" t="n">
        <v>0</v>
      </c>
    </row>
    <row r="351" ht="10.95" customHeight="1" s="9">
      <c r="A351" s="15" t="n">
        <v>45822</v>
      </c>
      <c r="B351" s="16" t="inlineStr">
        <is>
          <t>Receivable Invoice</t>
        </is>
      </c>
      <c r="C351" s="16" t="inlineStr">
        <is>
          <t>Ridgeway University</t>
        </is>
      </c>
      <c r="D351" s="16" t="inlineStr">
        <is>
          <t>RPT200-1</t>
        </is>
      </c>
      <c r="E351" s="17" t="n">
        <v>0</v>
      </c>
      <c r="F351" s="17" t="n">
        <v>8333</v>
      </c>
      <c r="G351" s="17">
        <f>((G350 + F351) - E351)</f>
        <v/>
      </c>
      <c r="H351" s="17" t="n">
        <v>8333</v>
      </c>
      <c r="I351" s="17" t="n">
        <v>0</v>
      </c>
    </row>
    <row r="352" ht="10.95" customHeight="1" s="9">
      <c r="A352" s="15" t="n">
        <v>45824</v>
      </c>
      <c r="B352" s="16" t="inlineStr">
        <is>
          <t>Payable Invoice</t>
        </is>
      </c>
      <c r="C352" s="16" t="inlineStr">
        <is>
          <t>PowerDirect</t>
        </is>
      </c>
      <c r="D352" s="16" t="inlineStr">
        <is>
          <t>RPT445-1</t>
        </is>
      </c>
      <c r="E352" s="17" t="n">
        <v>212</v>
      </c>
      <c r="F352" s="17" t="n">
        <v>0</v>
      </c>
      <c r="G352" s="17">
        <f>((G351 + F352) - E352)</f>
        <v/>
      </c>
      <c r="H352" s="17" t="n">
        <v>-212</v>
      </c>
      <c r="I352" s="17" t="n">
        <v>0</v>
      </c>
    </row>
    <row r="353" ht="10.95" customHeight="1" s="9">
      <c r="A353" s="15" t="n">
        <v>45853</v>
      </c>
      <c r="B353" s="16" t="inlineStr">
        <is>
          <t>Receivable Invoice</t>
        </is>
      </c>
      <c r="C353" s="16" t="inlineStr">
        <is>
          <t>Ridgeway University</t>
        </is>
      </c>
      <c r="D353" s="16" t="inlineStr">
        <is>
          <t>RPT200-1</t>
        </is>
      </c>
      <c r="E353" s="17" t="n">
        <v>0</v>
      </c>
      <c r="F353" s="17" t="n">
        <v>4166.5</v>
      </c>
      <c r="G353" s="17">
        <f>((G352 + F353) - E353)</f>
        <v/>
      </c>
      <c r="H353" s="17" t="n">
        <v>4166.5</v>
      </c>
      <c r="I353" s="17" t="n">
        <v>0</v>
      </c>
    </row>
    <row r="354" ht="10.95" customHeight="1" s="9">
      <c r="A354" s="15" t="n">
        <v>45855</v>
      </c>
      <c r="B354" s="16" t="inlineStr">
        <is>
          <t>Payable Invoice</t>
        </is>
      </c>
      <c r="C354" s="16" t="inlineStr">
        <is>
          <t>PowerDirect</t>
        </is>
      </c>
      <c r="D354" s="16" t="inlineStr">
        <is>
          <t>RPT445-1</t>
        </is>
      </c>
      <c r="E354" s="17" t="n">
        <v>216.5</v>
      </c>
      <c r="F354" s="17" t="n">
        <v>0</v>
      </c>
      <c r="G354" s="17">
        <f>((G353 + F354) - E354)</f>
        <v/>
      </c>
      <c r="H354" s="17" t="n">
        <v>-216.5</v>
      </c>
      <c r="I354" s="17" t="n">
        <v>0</v>
      </c>
    </row>
    <row r="355" ht="10.95" customHeight="1" s="9">
      <c r="A355" s="15" t="n">
        <v>45884</v>
      </c>
      <c r="B355" s="16" t="inlineStr">
        <is>
          <t>Receivable Invoice</t>
        </is>
      </c>
      <c r="C355" s="16" t="inlineStr">
        <is>
          <t>Ridgeway University</t>
        </is>
      </c>
      <c r="D355" s="16" t="inlineStr">
        <is>
          <t>RPT200-1</t>
        </is>
      </c>
      <c r="E355" s="17" t="n">
        <v>0</v>
      </c>
      <c r="F355" s="17" t="n">
        <v>4166.5</v>
      </c>
      <c r="G355" s="17">
        <f>((G354 + F355) - E355)</f>
        <v/>
      </c>
      <c r="H355" s="17" t="n">
        <v>4166.5</v>
      </c>
      <c r="I355" s="17" t="n">
        <v>0</v>
      </c>
    </row>
    <row r="356" ht="10.95" customHeight="1" s="9">
      <c r="A356" s="15" t="n">
        <v>45886</v>
      </c>
      <c r="B356" s="16" t="inlineStr">
        <is>
          <t>Payable Invoice</t>
        </is>
      </c>
      <c r="C356" s="16" t="inlineStr">
        <is>
          <t>PowerDirect</t>
        </is>
      </c>
      <c r="D356" s="16" t="inlineStr">
        <is>
          <t>RPT445-1</t>
        </is>
      </c>
      <c r="E356" s="17" t="n">
        <v>229</v>
      </c>
      <c r="F356" s="17" t="n">
        <v>0</v>
      </c>
      <c r="G356" s="17">
        <f>((G355 + F356) - E356)</f>
        <v/>
      </c>
      <c r="H356" s="17" t="n">
        <v>-229</v>
      </c>
      <c r="I356" s="17" t="n">
        <v>0</v>
      </c>
    </row>
    <row r="357" ht="10.95" customHeight="1" s="9">
      <c r="A357" s="15" t="n">
        <v>45914</v>
      </c>
      <c r="B357" s="16" t="inlineStr">
        <is>
          <t>Receivable Invoice</t>
        </is>
      </c>
      <c r="C357" s="16" t="inlineStr">
        <is>
          <t>Ridgeway University</t>
        </is>
      </c>
      <c r="D357" s="16" t="inlineStr">
        <is>
          <t>RPT200-1</t>
        </is>
      </c>
      <c r="E357" s="17" t="n">
        <v>0</v>
      </c>
      <c r="F357" s="17" t="n">
        <v>4166.5</v>
      </c>
      <c r="G357" s="17">
        <f>((G356 + F357) - E357)</f>
        <v/>
      </c>
      <c r="H357" s="17" t="n">
        <v>4166.5</v>
      </c>
      <c r="I357" s="17" t="n">
        <v>0</v>
      </c>
    </row>
    <row r="358" ht="10.95" customHeight="1" s="9">
      <c r="A358" s="15" t="n">
        <v>45914</v>
      </c>
      <c r="B358" s="16" t="inlineStr">
        <is>
          <t>Receivable Invoice</t>
        </is>
      </c>
      <c r="C358" s="16" t="inlineStr">
        <is>
          <t>Ridgeway University</t>
        </is>
      </c>
      <c r="D358" s="16" t="inlineStr">
        <is>
          <t>RPT200-1</t>
        </is>
      </c>
      <c r="E358" s="17" t="n">
        <v>0</v>
      </c>
      <c r="F358" s="17" t="n">
        <v>8333.5</v>
      </c>
      <c r="G358" s="17">
        <f>((G357 + F358) - E358)</f>
        <v/>
      </c>
      <c r="H358" s="17" t="n">
        <v>8333.5</v>
      </c>
      <c r="I358" s="17" t="n">
        <v>0</v>
      </c>
    </row>
    <row r="359" ht="10.95" customHeight="1" s="9">
      <c r="A359" s="15" t="n">
        <v>45916</v>
      </c>
      <c r="B359" s="16" t="inlineStr">
        <is>
          <t>Payable Invoice</t>
        </is>
      </c>
      <c r="C359" s="16" t="inlineStr">
        <is>
          <t>PowerDirect</t>
        </is>
      </c>
      <c r="D359" s="16" t="inlineStr">
        <is>
          <t>RPT445-1</t>
        </is>
      </c>
      <c r="E359" s="17" t="n">
        <v>239.5</v>
      </c>
      <c r="F359" s="17" t="n">
        <v>0</v>
      </c>
      <c r="G359" s="17">
        <f>((G358 + F359) - E359)</f>
        <v/>
      </c>
      <c r="H359" s="17" t="n">
        <v>-239.5</v>
      </c>
      <c r="I359" s="17" t="n">
        <v>0</v>
      </c>
    </row>
    <row r="360" ht="10.95" customHeight="1" s="9">
      <c r="A360" s="15" t="n">
        <v>45945</v>
      </c>
      <c r="B360" s="16" t="inlineStr">
        <is>
          <t>Receivable Invoice</t>
        </is>
      </c>
      <c r="C360" s="16" t="inlineStr">
        <is>
          <t>Ridgeway University</t>
        </is>
      </c>
      <c r="D360" s="16" t="inlineStr">
        <is>
          <t>RPT200-1</t>
        </is>
      </c>
      <c r="E360" s="17" t="n">
        <v>0</v>
      </c>
      <c r="F360" s="17" t="n">
        <v>4166.5</v>
      </c>
      <c r="G360" s="17">
        <f>((G359 + F360) - E360)</f>
        <v/>
      </c>
      <c r="H360" s="17" t="n">
        <v>4166.5</v>
      </c>
      <c r="I360" s="17" t="n">
        <v>0</v>
      </c>
    </row>
    <row r="361" ht="10.95" customHeight="1" s="9">
      <c r="A361" s="15" t="n">
        <v>45947</v>
      </c>
      <c r="B361" s="16" t="inlineStr">
        <is>
          <t>Payable Invoice</t>
        </is>
      </c>
      <c r="C361" s="16" t="inlineStr">
        <is>
          <t>PowerDirect</t>
        </is>
      </c>
      <c r="D361" s="16" t="inlineStr">
        <is>
          <t>RPT445-1</t>
        </is>
      </c>
      <c r="E361" s="17" t="n">
        <v>252</v>
      </c>
      <c r="F361" s="17" t="n">
        <v>0</v>
      </c>
      <c r="G361" s="17">
        <f>((G360 + F361) - E361)</f>
        <v/>
      </c>
      <c r="H361" s="17" t="n">
        <v>-252</v>
      </c>
      <c r="I361" s="17" t="n">
        <v>0</v>
      </c>
    </row>
    <row r="362" ht="10.95" customHeight="1" s="9">
      <c r="A362" s="15" t="n">
        <v>45975</v>
      </c>
      <c r="B362" s="16" t="inlineStr">
        <is>
          <t>Receivable Invoice</t>
        </is>
      </c>
      <c r="C362" s="16" t="inlineStr">
        <is>
          <t>Ridgeway University</t>
        </is>
      </c>
      <c r="D362" s="16" t="inlineStr">
        <is>
          <t>RPT200-1</t>
        </is>
      </c>
      <c r="E362" s="17" t="n">
        <v>0</v>
      </c>
      <c r="F362" s="17" t="n">
        <v>4166.5</v>
      </c>
      <c r="G362" s="17">
        <f>((G361 + F362) - E362)</f>
        <v/>
      </c>
      <c r="H362" s="17" t="n">
        <v>4166.5</v>
      </c>
      <c r="I362" s="17" t="n">
        <v>0</v>
      </c>
    </row>
    <row r="363" ht="10.95" customHeight="1" s="9">
      <c r="A363" s="15" t="n">
        <v>45975</v>
      </c>
      <c r="B363" s="16" t="inlineStr">
        <is>
          <t>Receivable Invoice</t>
        </is>
      </c>
      <c r="C363" s="16" t="inlineStr">
        <is>
          <t>Ridgeway University</t>
        </is>
      </c>
      <c r="D363" s="16" t="inlineStr">
        <is>
          <t>RPT200-1</t>
        </is>
      </c>
      <c r="E363" s="17" t="n">
        <v>0</v>
      </c>
      <c r="F363" s="17" t="n">
        <v>5833.5</v>
      </c>
      <c r="G363" s="17">
        <f>((G362 + F363) - E363)</f>
        <v/>
      </c>
      <c r="H363" s="17" t="n">
        <v>5833.5</v>
      </c>
      <c r="I363" s="17" t="n">
        <v>0</v>
      </c>
    </row>
    <row r="364" ht="10.95" customHeight="1" s="9">
      <c r="A364" s="15" t="n">
        <v>45977</v>
      </c>
      <c r="B364" s="16" t="inlineStr">
        <is>
          <t>Payable Invoice</t>
        </is>
      </c>
      <c r="C364" s="16" t="inlineStr">
        <is>
          <t>PowerDirect</t>
        </is>
      </c>
      <c r="D364" s="16" t="inlineStr">
        <is>
          <t>RPT445-1</t>
        </is>
      </c>
      <c r="E364" s="17" t="n">
        <v>253.5</v>
      </c>
      <c r="F364" s="17" t="n">
        <v>0</v>
      </c>
      <c r="G364" s="17">
        <f>((G363 + F364) - E364)</f>
        <v/>
      </c>
      <c r="H364" s="17" t="n">
        <v>-253.5</v>
      </c>
      <c r="I364" s="17" t="n">
        <v>0</v>
      </c>
    </row>
    <row r="365" ht="10.95" customHeight="1" s="9">
      <c r="A365" s="15" t="n">
        <v>46006</v>
      </c>
      <c r="B365" s="16" t="inlineStr">
        <is>
          <t>Receivable Invoice</t>
        </is>
      </c>
      <c r="C365" s="16" t="inlineStr">
        <is>
          <t>Ridgeway University</t>
        </is>
      </c>
      <c r="D365" s="16" t="inlineStr">
        <is>
          <t>RPT200-1</t>
        </is>
      </c>
      <c r="E365" s="17" t="n">
        <v>0</v>
      </c>
      <c r="F365" s="17" t="n">
        <v>4166.5</v>
      </c>
      <c r="G365" s="17">
        <f>((G364 + F365) - E365)</f>
        <v/>
      </c>
      <c r="H365" s="17" t="n">
        <v>4166.5</v>
      </c>
      <c r="I365" s="17" t="n">
        <v>0</v>
      </c>
    </row>
    <row r="366" ht="10.95" customHeight="1" s="9">
      <c r="A366" s="15" t="n">
        <v>46006</v>
      </c>
      <c r="B366" s="16" t="inlineStr">
        <is>
          <t>Payable Invoice</t>
        </is>
      </c>
      <c r="C366" s="16" t="inlineStr">
        <is>
          <t>Truxton Property Management</t>
        </is>
      </c>
      <c r="D366" s="16" t="inlineStr">
        <is>
          <t>RPT469-1</t>
        </is>
      </c>
      <c r="E366" s="17" t="n">
        <v>9843.5</v>
      </c>
      <c r="F366" s="17" t="n">
        <v>0</v>
      </c>
      <c r="G366" s="17">
        <f>((G365 + F366) - E366)</f>
        <v/>
      </c>
      <c r="H366" s="17" t="n">
        <v>-9843.5</v>
      </c>
      <c r="I366" s="17" t="n">
        <v>0</v>
      </c>
    </row>
    <row r="367" ht="10.95" customHeight="1" s="9">
      <c r="A367" s="15" t="n">
        <v>46008</v>
      </c>
      <c r="B367" s="16" t="inlineStr">
        <is>
          <t>Payable Invoice</t>
        </is>
      </c>
      <c r="C367" s="16" t="inlineStr">
        <is>
          <t>PowerDirect</t>
        </is>
      </c>
      <c r="D367" s="16" t="inlineStr">
        <is>
          <t>RPT445-1</t>
        </is>
      </c>
      <c r="E367" s="17" t="n">
        <v>283.5</v>
      </c>
      <c r="F367" s="17" t="n">
        <v>0</v>
      </c>
      <c r="G367" s="17">
        <f>((G366 + F367) - E367)</f>
        <v/>
      </c>
      <c r="H367" s="17" t="n">
        <v>-283.5</v>
      </c>
      <c r="I367" s="17" t="n">
        <v>0</v>
      </c>
    </row>
    <row r="368" ht="10.95" customHeight="1" s="9">
      <c r="A368" s="15" t="n">
        <v>46010</v>
      </c>
      <c r="B368" s="16" t="inlineStr">
        <is>
          <t>Payable Invoice</t>
        </is>
      </c>
      <c r="C368" s="16" t="inlineStr">
        <is>
          <t>Net Connect</t>
        </is>
      </c>
      <c r="D368" s="16" t="inlineStr">
        <is>
          <t>RPT489-1</t>
        </is>
      </c>
      <c r="E368" s="17" t="n">
        <v>374.5</v>
      </c>
      <c r="F368" s="17" t="n">
        <v>0</v>
      </c>
      <c r="G368" s="17">
        <f>((G367 + F368) - E368)</f>
        <v/>
      </c>
      <c r="H368" s="17" t="n">
        <v>-374.5</v>
      </c>
      <c r="I368" s="17" t="n">
        <v>0</v>
      </c>
    </row>
    <row r="369" ht="10.95" customHeight="1" s="9">
      <c r="A369" s="15" t="n">
        <v>46010</v>
      </c>
      <c r="B369" s="16" t="inlineStr">
        <is>
          <t>Payable Invoice</t>
        </is>
      </c>
      <c r="C369" s="16" t="inlineStr">
        <is>
          <t>PC Complete</t>
        </is>
      </c>
      <c r="D369" s="16" t="inlineStr">
        <is>
          <t>720-1</t>
        </is>
      </c>
      <c r="E369" s="17" t="n">
        <v>15833.5</v>
      </c>
      <c r="F369" s="17" t="n">
        <v>0</v>
      </c>
      <c r="G369" s="17">
        <f>((G368 + F369) - E369)</f>
        <v/>
      </c>
      <c r="H369" s="17" t="n">
        <v>-15833.5</v>
      </c>
      <c r="I369" s="17" t="n">
        <v>0</v>
      </c>
    </row>
    <row r="370" ht="10.95" customHeight="1" s="9">
      <c r="A370" s="15" t="n">
        <v>46015</v>
      </c>
      <c r="B370" s="16" t="inlineStr">
        <is>
          <t>Receivable Invoice</t>
        </is>
      </c>
      <c r="C370" s="16" t="inlineStr">
        <is>
          <t>Young Bros Transport</t>
        </is>
      </c>
      <c r="D370" s="16" t="inlineStr">
        <is>
          <t>Monthly Support</t>
        </is>
      </c>
      <c r="E370" s="17" t="n">
        <v>0</v>
      </c>
      <c r="F370" s="17" t="n">
        <v>4510.5</v>
      </c>
      <c r="G370" s="17">
        <f>((G369 + F370) - E370)</f>
        <v/>
      </c>
      <c r="H370" s="17" t="n">
        <v>4510.5</v>
      </c>
      <c r="I370" s="17" t="n">
        <v>0</v>
      </c>
    </row>
    <row r="371" ht="10.95" customHeight="1" s="9">
      <c r="A371" s="15" t="n">
        <v>46015</v>
      </c>
      <c r="B371" s="16" t="inlineStr">
        <is>
          <t>Receivable Invoice</t>
        </is>
      </c>
      <c r="C371" s="16" t="inlineStr">
        <is>
          <t>Rex Media Group</t>
        </is>
      </c>
      <c r="D371" s="16" t="inlineStr">
        <is>
          <t>Monthly Support</t>
        </is>
      </c>
      <c r="E371" s="17" t="n">
        <v>0</v>
      </c>
      <c r="F371" s="17" t="n">
        <v>4510.5</v>
      </c>
      <c r="G371" s="17">
        <f>((G370 + F371) - E371)</f>
        <v/>
      </c>
      <c r="H371" s="17" t="n">
        <v>4510.5</v>
      </c>
      <c r="I371" s="17" t="n">
        <v>0</v>
      </c>
    </row>
    <row r="372" ht="10.95" customHeight="1" s="9">
      <c r="A372" s="15" t="n">
        <v>46015</v>
      </c>
      <c r="B372" s="16" t="inlineStr">
        <is>
          <t>Receivable Invoice</t>
        </is>
      </c>
      <c r="C372" s="16" t="inlineStr">
        <is>
          <t>Hamilton Smith Ltd</t>
        </is>
      </c>
      <c r="D372" s="16" t="inlineStr">
        <is>
          <t>Monthly Support</t>
        </is>
      </c>
      <c r="E372" s="17" t="n">
        <v>0</v>
      </c>
      <c r="F372" s="17" t="n">
        <v>4510.5</v>
      </c>
      <c r="G372" s="17">
        <f>((G371 + F372) - E372)</f>
        <v/>
      </c>
      <c r="H372" s="17" t="n">
        <v>4510.5</v>
      </c>
      <c r="I372" s="17" t="n">
        <v>0</v>
      </c>
    </row>
    <row r="373" ht="10.95" customHeight="1" s="9">
      <c r="A373" s="15" t="n">
        <v>46015</v>
      </c>
      <c r="B373" s="16" t="inlineStr">
        <is>
          <t>Receivable Invoice</t>
        </is>
      </c>
      <c r="C373" s="16" t="inlineStr">
        <is>
          <t>Port &amp; Philip Freight</t>
        </is>
      </c>
      <c r="D373" s="16" t="inlineStr">
        <is>
          <t>Monthly Support</t>
        </is>
      </c>
      <c r="E373" s="17" t="n">
        <v>0</v>
      </c>
      <c r="F373" s="17" t="n">
        <v>4510.5</v>
      </c>
      <c r="G373" s="17">
        <f>((G372 + F373) - E373)</f>
        <v/>
      </c>
      <c r="H373" s="17" t="n">
        <v>4510.5</v>
      </c>
      <c r="I373" s="17" t="n">
        <v>0</v>
      </c>
    </row>
    <row r="374" ht="10.95" customHeight="1" s="9">
      <c r="A374" s="15" t="n">
        <v>46016</v>
      </c>
      <c r="B374" s="16" t="inlineStr">
        <is>
          <t>Receivable Invoice</t>
        </is>
      </c>
      <c r="C374" s="16" t="inlineStr">
        <is>
          <t>Hamilton Smith Ltd</t>
        </is>
      </c>
      <c r="D374" s="16" t="inlineStr">
        <is>
          <t>Monthly Support</t>
        </is>
      </c>
      <c r="E374" s="17" t="n">
        <v>0</v>
      </c>
      <c r="F374" s="17" t="n">
        <v>4510.5</v>
      </c>
      <c r="G374" s="17">
        <f>((G373 + F374) - E374)</f>
        <v/>
      </c>
      <c r="H374" s="17" t="n">
        <v>4510.5</v>
      </c>
      <c r="I374" s="17" t="n">
        <v>0</v>
      </c>
    </row>
    <row r="375" ht="10.95" customHeight="1" s="9">
      <c r="A375" s="15" t="n">
        <v>46017</v>
      </c>
      <c r="B375" s="16" t="inlineStr">
        <is>
          <t>Receivable Credit Note</t>
        </is>
      </c>
      <c r="C375" s="16" t="inlineStr">
        <is>
          <t>Hamilton Smith Ltd</t>
        </is>
      </c>
      <c r="D375" s="16" t="inlineStr">
        <is>
          <t>Monthly Support</t>
        </is>
      </c>
      <c r="E375" s="17" t="n">
        <v>4510.5</v>
      </c>
      <c r="F375" s="17" t="n">
        <v>0</v>
      </c>
      <c r="G375" s="17">
        <f>((G374 + F375) - E375)</f>
        <v/>
      </c>
      <c r="H375" s="17" t="n">
        <v>-4510.5</v>
      </c>
      <c r="I375" s="17" t="n">
        <v>0</v>
      </c>
    </row>
    <row r="376" ht="10.95" customHeight="1" s="9">
      <c r="A376" s="15" t="n">
        <v>46018</v>
      </c>
      <c r="B376" s="16" t="inlineStr">
        <is>
          <t>Receivable Invoice</t>
        </is>
      </c>
      <c r="C376" s="16" t="inlineStr">
        <is>
          <t>City Limousines</t>
        </is>
      </c>
      <c r="D376" s="16" t="inlineStr">
        <is>
          <t>P/O 9711</t>
        </is>
      </c>
      <c r="E376" s="17" t="n">
        <v>0</v>
      </c>
      <c r="F376" s="17" t="n">
        <v>2083.5</v>
      </c>
      <c r="G376" s="17">
        <f>((G375 + F376) - E376)</f>
        <v/>
      </c>
      <c r="H376" s="17" t="n">
        <v>2083.5</v>
      </c>
      <c r="I376" s="17" t="n">
        <v>0</v>
      </c>
    </row>
    <row r="377" ht="10.95" customHeight="1" s="9">
      <c r="A377" s="15" t="n">
        <v>46020</v>
      </c>
      <c r="B377" s="16" t="inlineStr">
        <is>
          <t>Spend Money</t>
        </is>
      </c>
      <c r="C377" s="16" t="inlineStr">
        <is>
          <t>Office Supplies Company</t>
        </is>
      </c>
      <c r="D377" s="16" t="inlineStr">
        <is>
          <t>Eft</t>
        </is>
      </c>
      <c r="E377" s="17" t="n">
        <v>181</v>
      </c>
      <c r="F377" s="17" t="n">
        <v>0</v>
      </c>
      <c r="G377" s="17">
        <f>((G376 + F377) - E377)</f>
        <v/>
      </c>
      <c r="H377" s="17" t="n">
        <v>-181</v>
      </c>
      <c r="I377" s="17" t="n">
        <v>0</v>
      </c>
    </row>
    <row r="378" ht="10.95" customHeight="1" s="9">
      <c r="A378" s="15" t="n">
        <v>46020</v>
      </c>
      <c r="B378" s="16" t="inlineStr">
        <is>
          <t>Payable Invoice</t>
        </is>
      </c>
      <c r="C378" s="16" t="inlineStr">
        <is>
          <t>Xero</t>
        </is>
      </c>
      <c r="D378" s="16" t="inlineStr">
        <is>
          <t>RPT402-1</t>
        </is>
      </c>
      <c r="E378" s="17" t="n">
        <v>469.5</v>
      </c>
      <c r="F378" s="17" t="n">
        <v>0</v>
      </c>
      <c r="G378" s="17">
        <f>((G377 + F378) - E378)</f>
        <v/>
      </c>
      <c r="H378" s="17" t="n">
        <v>-469.5</v>
      </c>
      <c r="I378" s="17" t="n">
        <v>0</v>
      </c>
    </row>
    <row r="379" ht="10.95" customHeight="1" s="9">
      <c r="A379" s="15" t="n">
        <v>46026</v>
      </c>
      <c r="B379" s="16" t="inlineStr">
        <is>
          <t>Receivable Invoice</t>
        </is>
      </c>
      <c r="C379" s="16" t="inlineStr">
        <is>
          <t>Bank West</t>
        </is>
      </c>
      <c r="D379" s="16" t="inlineStr">
        <is>
          <t>Training</t>
        </is>
      </c>
      <c r="E379" s="17" t="n">
        <v>0</v>
      </c>
      <c r="F379" s="17" t="n">
        <v>8333</v>
      </c>
      <c r="G379" s="17">
        <f>((G378 + F379) - E379)</f>
        <v/>
      </c>
      <c r="H379" s="17" t="n">
        <v>8333</v>
      </c>
      <c r="I379" s="17" t="n">
        <v>0</v>
      </c>
    </row>
    <row r="380" ht="10.95" customHeight="1" s="9">
      <c r="A380" s="15" t="n">
        <v>46026</v>
      </c>
      <c r="B380" s="16" t="inlineStr">
        <is>
          <t>Receivable Invoice</t>
        </is>
      </c>
      <c r="C380" s="16" t="inlineStr">
        <is>
          <t>Bank West</t>
        </is>
      </c>
      <c r="D380" s="16" t="inlineStr">
        <is>
          <t>Training</t>
        </is>
      </c>
      <c r="E380" s="17" t="n">
        <v>0</v>
      </c>
      <c r="F380" s="17" t="n">
        <v>4166.5</v>
      </c>
      <c r="G380" s="17">
        <f>((G379 + F380) - E380)</f>
        <v/>
      </c>
      <c r="H380" s="17" t="n">
        <v>4166.5</v>
      </c>
      <c r="I380" s="17" t="n">
        <v>0</v>
      </c>
    </row>
    <row r="381" ht="10.95" customHeight="1" s="9">
      <c r="A381" s="15" t="n">
        <v>46028</v>
      </c>
      <c r="B381" s="16" t="inlineStr">
        <is>
          <t>Spend Money</t>
        </is>
      </c>
      <c r="C381" s="16" t="inlineStr">
        <is>
          <t>Woolworths Market</t>
        </is>
      </c>
      <c r="D381" s="16" t="n"/>
      <c r="E381" s="17" t="n">
        <v>543.5</v>
      </c>
      <c r="F381" s="17" t="n">
        <v>0</v>
      </c>
      <c r="G381" s="17">
        <f>((G380 + F381) - E381)</f>
        <v/>
      </c>
      <c r="H381" s="17" t="n">
        <v>-543.5</v>
      </c>
      <c r="I381" s="17" t="n">
        <v>0</v>
      </c>
    </row>
    <row r="382" ht="10.95" customHeight="1" s="9">
      <c r="A382" s="15" t="n">
        <v>46029</v>
      </c>
      <c r="B382" s="16" t="inlineStr">
        <is>
          <t>Spend Money</t>
        </is>
      </c>
      <c r="C382" s="16" t="inlineStr">
        <is>
          <t>Berry Brew</t>
        </is>
      </c>
      <c r="D382" s="16" t="n"/>
      <c r="E382" s="17" t="n">
        <v>130</v>
      </c>
      <c r="F382" s="17" t="n">
        <v>0</v>
      </c>
      <c r="G382" s="17">
        <f>((G381 + F382) - E382)</f>
        <v/>
      </c>
      <c r="H382" s="17" t="n">
        <v>-130</v>
      </c>
      <c r="I382" s="17" t="n">
        <v>0</v>
      </c>
    </row>
    <row r="383" ht="10.95" customHeight="1" s="9">
      <c r="A383" s="15" t="n">
        <v>46036</v>
      </c>
      <c r="B383" s="16" t="inlineStr">
        <is>
          <t>Payable Invoice</t>
        </is>
      </c>
      <c r="C383" s="16" t="inlineStr">
        <is>
          <t>Swanston Security</t>
        </is>
      </c>
      <c r="D383" s="16" t="inlineStr">
        <is>
          <t>RPT429-1</t>
        </is>
      </c>
      <c r="E383" s="17" t="n">
        <v>496</v>
      </c>
      <c r="F383" s="17" t="n">
        <v>0</v>
      </c>
      <c r="G383" s="17">
        <f>((G382 + F383) - E383)</f>
        <v/>
      </c>
      <c r="H383" s="17" t="n">
        <v>-496</v>
      </c>
      <c r="I383" s="17" t="n">
        <v>0</v>
      </c>
    </row>
    <row r="384" ht="10.95" customHeight="1" s="9">
      <c r="A384" s="15" t="n">
        <v>46036</v>
      </c>
      <c r="B384" s="16" t="inlineStr">
        <is>
          <t>Expense Claim</t>
        </is>
      </c>
      <c r="C384" s="16" t="inlineStr">
        <is>
          <t>Xero Demo</t>
        </is>
      </c>
      <c r="D384" s="16" t="n"/>
      <c r="E384" s="17" t="n">
        <v>291</v>
      </c>
      <c r="F384" s="17" t="n">
        <v>0</v>
      </c>
      <c r="G384" s="17">
        <f>((G383 + F384) - E384)</f>
        <v/>
      </c>
      <c r="H384" s="17" t="n">
        <v>-291</v>
      </c>
      <c r="I384" s="17" t="n">
        <v>0</v>
      </c>
    </row>
    <row r="385" ht="10.95" customHeight="1" s="9">
      <c r="A385" s="15" t="n">
        <v>46037</v>
      </c>
      <c r="B385" s="16" t="inlineStr">
        <is>
          <t>Receivable Invoice</t>
        </is>
      </c>
      <c r="C385" s="16" t="inlineStr">
        <is>
          <t>Ridgeway University</t>
        </is>
      </c>
      <c r="D385" s="16" t="inlineStr">
        <is>
          <t>RPT200-1</t>
        </is>
      </c>
      <c r="E385" s="17" t="n">
        <v>0</v>
      </c>
      <c r="F385" s="17" t="n">
        <v>16666.5</v>
      </c>
      <c r="G385" s="17">
        <f>((G384 + F385) - E385)</f>
        <v/>
      </c>
      <c r="H385" s="17" t="n">
        <v>16666.5</v>
      </c>
      <c r="I385" s="17" t="n">
        <v>0</v>
      </c>
    </row>
    <row r="386" ht="10.95" customHeight="1" s="9">
      <c r="A386" s="15" t="n">
        <v>46037</v>
      </c>
      <c r="B386" s="16" t="inlineStr">
        <is>
          <t>Receivable Invoice</t>
        </is>
      </c>
      <c r="C386" s="16" t="inlineStr">
        <is>
          <t>Ridgeway University</t>
        </is>
      </c>
      <c r="D386" s="16" t="inlineStr">
        <is>
          <t>RPT200-1</t>
        </is>
      </c>
      <c r="E386" s="17" t="n">
        <v>0</v>
      </c>
      <c r="F386" s="17" t="n">
        <v>4166.5</v>
      </c>
      <c r="G386" s="17">
        <f>((G385 + F386) - E386)</f>
        <v/>
      </c>
      <c r="H386" s="17" t="n">
        <v>4166.5</v>
      </c>
      <c r="I386" s="17" t="n">
        <v>0</v>
      </c>
    </row>
    <row r="387" ht="10.95" customHeight="1" s="9">
      <c r="A387" s="15" t="n">
        <v>46037</v>
      </c>
      <c r="B387" s="16" t="inlineStr">
        <is>
          <t>Payable Invoice</t>
        </is>
      </c>
      <c r="C387" s="16" t="inlineStr">
        <is>
          <t>Truxton Property Management</t>
        </is>
      </c>
      <c r="D387" s="16" t="inlineStr">
        <is>
          <t>RPT469-1</t>
        </is>
      </c>
      <c r="E387" s="17" t="n">
        <v>9843.5</v>
      </c>
      <c r="F387" s="17" t="n">
        <v>0</v>
      </c>
      <c r="G387" s="17">
        <f>((G386 + F387) - E387)</f>
        <v/>
      </c>
      <c r="H387" s="17" t="n">
        <v>-9843.5</v>
      </c>
      <c r="I387" s="17" t="n">
        <v>0</v>
      </c>
    </row>
    <row r="388" ht="10.95" customHeight="1" s="9">
      <c r="A388" s="15" t="n">
        <v>46038</v>
      </c>
      <c r="B388" s="16" t="inlineStr">
        <is>
          <t>Spend Money</t>
        </is>
      </c>
      <c r="C388" s="16" t="inlineStr">
        <is>
          <t>Melrose Parking</t>
        </is>
      </c>
      <c r="D388" s="16" t="inlineStr">
        <is>
          <t>Chq 409</t>
        </is>
      </c>
      <c r="E388" s="17" t="n">
        <v>1237.5</v>
      </c>
      <c r="F388" s="17" t="n">
        <v>0</v>
      </c>
      <c r="G388" s="17">
        <f>((G387 + F388) - E388)</f>
        <v/>
      </c>
      <c r="H388" s="17" t="n">
        <v>-1237.5</v>
      </c>
      <c r="I388" s="17" t="n">
        <v>0</v>
      </c>
    </row>
    <row r="389" ht="10.95" customHeight="1" s="9">
      <c r="A389" s="15" t="n">
        <v>46039</v>
      </c>
      <c r="B389" s="16" t="inlineStr">
        <is>
          <t>Payable Credit Note</t>
        </is>
      </c>
      <c r="C389" s="16" t="inlineStr">
        <is>
          <t>Swanston Security</t>
        </is>
      </c>
      <c r="D389" s="16" t="inlineStr">
        <is>
          <t>RPT429-1</t>
        </is>
      </c>
      <c r="E389" s="17" t="n">
        <v>0</v>
      </c>
      <c r="F389" s="17" t="n">
        <v>212</v>
      </c>
      <c r="G389" s="17">
        <f>((G388 + F389) - E389)</f>
        <v/>
      </c>
      <c r="H389" s="17" t="n">
        <v>212</v>
      </c>
      <c r="I389" s="17" t="n">
        <v>0</v>
      </c>
    </row>
    <row r="390" ht="10.95" customHeight="1" s="9">
      <c r="A390" s="15" t="n">
        <v>46039</v>
      </c>
      <c r="B390" s="16" t="inlineStr">
        <is>
          <t>Payable Invoice</t>
        </is>
      </c>
      <c r="C390" s="16" t="inlineStr">
        <is>
          <t>PowerDirect</t>
        </is>
      </c>
      <c r="D390" s="16" t="inlineStr">
        <is>
          <t>RPT445-1</t>
        </is>
      </c>
      <c r="E390" s="17" t="n">
        <v>323.5</v>
      </c>
      <c r="F390" s="17" t="n">
        <v>0</v>
      </c>
      <c r="G390" s="17">
        <f>((G389 + F390) - E390)</f>
        <v/>
      </c>
      <c r="H390" s="17" t="n">
        <v>-323.5</v>
      </c>
      <c r="I390" s="17" t="n">
        <v>0</v>
      </c>
    </row>
    <row r="391" ht="10.95" customHeight="1" s="9">
      <c r="A391" s="15" t="n">
        <v>46040</v>
      </c>
      <c r="B391" s="16" t="inlineStr">
        <is>
          <t>Payable Invoice</t>
        </is>
      </c>
      <c r="C391" s="16" t="inlineStr">
        <is>
          <t>PC Complete</t>
        </is>
      </c>
      <c r="D391" s="16" t="inlineStr">
        <is>
          <t>720-2</t>
        </is>
      </c>
      <c r="E391" s="17" t="n">
        <v>14452</v>
      </c>
      <c r="F391" s="17" t="n">
        <v>0</v>
      </c>
      <c r="G391" s="17">
        <f>((G390 + F391) - E391)</f>
        <v/>
      </c>
      <c r="H391" s="17" t="n">
        <v>-14452</v>
      </c>
      <c r="I391" s="17" t="n">
        <v>0</v>
      </c>
    </row>
    <row r="392" ht="10.95" customHeight="1" s="9">
      <c r="A392" s="15" t="n">
        <v>46040</v>
      </c>
      <c r="B392" s="16" t="inlineStr">
        <is>
          <t>Receivable Invoice</t>
        </is>
      </c>
      <c r="C392" s="16" t="inlineStr">
        <is>
          <t>City Agency</t>
        </is>
      </c>
      <c r="D392" s="16" t="inlineStr">
        <is>
          <t>Workshop</t>
        </is>
      </c>
      <c r="E392" s="17" t="n">
        <v>0</v>
      </c>
      <c r="F392" s="17" t="n">
        <v>2748.5</v>
      </c>
      <c r="G392" s="17">
        <f>((G391 + F392) - E392)</f>
        <v/>
      </c>
      <c r="H392" s="17" t="n">
        <v>2748.5</v>
      </c>
      <c r="I392" s="17" t="n">
        <v>0</v>
      </c>
    </row>
    <row r="393" ht="10.95" customHeight="1" s="9">
      <c r="A393" s="15" t="n">
        <v>46041</v>
      </c>
      <c r="B393" s="16" t="inlineStr">
        <is>
          <t>Payable Invoice</t>
        </is>
      </c>
      <c r="C393" s="16" t="inlineStr">
        <is>
          <t>Net Connect</t>
        </is>
      </c>
      <c r="D393" s="16" t="inlineStr">
        <is>
          <t>RPT489-1</t>
        </is>
      </c>
      <c r="E393" s="17" t="n">
        <v>390</v>
      </c>
      <c r="F393" s="17" t="n">
        <v>0</v>
      </c>
      <c r="G393" s="17">
        <f>((G392 + F393) - E393)</f>
        <v/>
      </c>
      <c r="H393" s="17" t="n">
        <v>-390</v>
      </c>
      <c r="I393" s="17" t="n">
        <v>0</v>
      </c>
    </row>
    <row r="394" ht="10.95" customHeight="1" s="9">
      <c r="A394" s="15" t="n">
        <v>46041</v>
      </c>
      <c r="B394" s="16" t="inlineStr">
        <is>
          <t>Payable Invoice</t>
        </is>
      </c>
      <c r="C394" s="16" t="inlineStr">
        <is>
          <t>Central Copiers</t>
        </is>
      </c>
      <c r="D394" s="16" t="inlineStr">
        <is>
          <t>945-Ocon</t>
        </is>
      </c>
      <c r="E394" s="17" t="n">
        <v>8863</v>
      </c>
      <c r="F394" s="17" t="n">
        <v>0</v>
      </c>
      <c r="G394" s="17">
        <f>((G393 + F394) - E394)</f>
        <v/>
      </c>
      <c r="H394" s="17" t="n">
        <v>-8863</v>
      </c>
      <c r="I394" s="17" t="n">
        <v>0</v>
      </c>
    </row>
    <row r="395" ht="10.95" customHeight="1" s="9">
      <c r="A395" s="15" t="n">
        <v>46043</v>
      </c>
      <c r="B395" s="16" t="inlineStr">
        <is>
          <t>Payable Invoice</t>
        </is>
      </c>
      <c r="C395" s="16" t="inlineStr">
        <is>
          <t>MCO Cleaning Services</t>
        </is>
      </c>
      <c r="D395" s="16" t="inlineStr">
        <is>
          <t>408</t>
        </is>
      </c>
      <c r="E395" s="17" t="n">
        <v>992.5</v>
      </c>
      <c r="F395" s="17" t="n">
        <v>0</v>
      </c>
      <c r="G395" s="17">
        <f>((G394 + F395) - E395)</f>
        <v/>
      </c>
      <c r="H395" s="17" t="n">
        <v>-992.5</v>
      </c>
      <c r="I395" s="17" t="n">
        <v>0</v>
      </c>
    </row>
    <row r="396" ht="10.95" customHeight="1" s="9">
      <c r="A396" s="15" t="n">
        <v>46043</v>
      </c>
      <c r="B396" s="16" t="inlineStr">
        <is>
          <t>Spend Money</t>
        </is>
      </c>
      <c r="C396" s="16" t="inlineStr">
        <is>
          <t>Espresso 31</t>
        </is>
      </c>
      <c r="D396" s="16" t="n"/>
      <c r="E396" s="17" t="n">
        <v>133.5</v>
      </c>
      <c r="F396" s="17" t="n">
        <v>0</v>
      </c>
      <c r="G396" s="17">
        <f>((G395 + F396) - E396)</f>
        <v/>
      </c>
      <c r="H396" s="17" t="n">
        <v>-133.5</v>
      </c>
      <c r="I396" s="17" t="n">
        <v>0</v>
      </c>
    </row>
    <row r="397" ht="10.95" customHeight="1" s="9">
      <c r="A397" s="15" t="n">
        <v>46043</v>
      </c>
      <c r="B397" s="16" t="inlineStr">
        <is>
          <t>Payable Credit Note</t>
        </is>
      </c>
      <c r="C397" s="16" t="inlineStr">
        <is>
          <t>PC Complete</t>
        </is>
      </c>
      <c r="D397" s="16" t="inlineStr">
        <is>
          <t>720-2</t>
        </is>
      </c>
      <c r="E397" s="17" t="n">
        <v>0</v>
      </c>
      <c r="F397" s="17" t="n">
        <v>2253</v>
      </c>
      <c r="G397" s="17">
        <f>((G396 + F397) - E397)</f>
        <v/>
      </c>
      <c r="H397" s="17" t="n">
        <v>2253</v>
      </c>
      <c r="I397" s="17" t="n">
        <v>0</v>
      </c>
    </row>
    <row r="398" ht="10.95" customHeight="1" s="9">
      <c r="A398" s="15" t="n">
        <v>46046</v>
      </c>
      <c r="B398" s="16" t="inlineStr">
        <is>
          <t>Spend Money</t>
        </is>
      </c>
      <c r="C398" s="16" t="inlineStr">
        <is>
          <t>Brunswick Petals</t>
        </is>
      </c>
      <c r="D398" s="16" t="n"/>
      <c r="E398" s="17" t="n">
        <v>416.5</v>
      </c>
      <c r="F398" s="17" t="n">
        <v>0</v>
      </c>
      <c r="G398" s="17">
        <f>((G397 + F398) - E398)</f>
        <v/>
      </c>
      <c r="H398" s="17" t="n">
        <v>-416.5</v>
      </c>
      <c r="I398" s="17" t="n">
        <v>0</v>
      </c>
    </row>
    <row r="399" ht="10.95" customHeight="1" s="9">
      <c r="A399" s="15" t="n">
        <v>46047</v>
      </c>
      <c r="B399" s="16" t="inlineStr">
        <is>
          <t>Spend Money</t>
        </is>
      </c>
      <c r="C399" s="16" t="inlineStr">
        <is>
          <t>Mobil</t>
        </is>
      </c>
      <c r="D399" s="16" t="n"/>
      <c r="E399" s="17" t="n">
        <v>590</v>
      </c>
      <c r="F399" s="17" t="n">
        <v>0</v>
      </c>
      <c r="G399" s="17">
        <f>((G398 + F399) - E399)</f>
        <v/>
      </c>
      <c r="H399" s="17" t="n">
        <v>-590</v>
      </c>
      <c r="I399" s="17" t="n">
        <v>0</v>
      </c>
    </row>
    <row r="400" ht="10.95" customHeight="1" s="9">
      <c r="A400" s="15" t="n">
        <v>46049</v>
      </c>
      <c r="B400" s="16" t="inlineStr">
        <is>
          <t>Receivable Invoice</t>
        </is>
      </c>
      <c r="C400" s="16" t="inlineStr">
        <is>
          <t>DIISR - Small Business Services</t>
        </is>
      </c>
      <c r="D400" s="16" t="inlineStr">
        <is>
          <t>Yr Ref W08-143</t>
        </is>
      </c>
      <c r="E400" s="17" t="n">
        <v>0</v>
      </c>
      <c r="F400" s="17" t="n">
        <v>5000</v>
      </c>
      <c r="G400" s="17">
        <f>((G399 + F400) - E400)</f>
        <v/>
      </c>
      <c r="H400" s="17" t="n">
        <v>5000</v>
      </c>
      <c r="I400" s="17" t="n">
        <v>0</v>
      </c>
    </row>
    <row r="401" ht="10.95" customHeight="1" s="9">
      <c r="A401" s="15" t="n">
        <v>46049</v>
      </c>
      <c r="B401" s="16" t="inlineStr">
        <is>
          <t>Receivable Invoice</t>
        </is>
      </c>
      <c r="C401" s="16" t="inlineStr">
        <is>
          <t>DIISR - Small Business Services</t>
        </is>
      </c>
      <c r="D401" s="16" t="inlineStr">
        <is>
          <t>Yr Ref W08-143</t>
        </is>
      </c>
      <c r="E401" s="17" t="n">
        <v>0</v>
      </c>
      <c r="F401" s="17" t="n">
        <v>2083.5</v>
      </c>
      <c r="G401" s="17">
        <f>((G400 + F401) - E401)</f>
        <v/>
      </c>
      <c r="H401" s="17" t="n">
        <v>2083.5</v>
      </c>
      <c r="I401" s="17" t="n">
        <v>0</v>
      </c>
    </row>
    <row r="402" ht="10.95" customHeight="1" s="9">
      <c r="A402" s="15" t="n">
        <v>46049</v>
      </c>
      <c r="B402" s="16" t="inlineStr">
        <is>
          <t>Receivable Invoice</t>
        </is>
      </c>
      <c r="C402" s="16" t="inlineStr">
        <is>
          <t>City Limousines</t>
        </is>
      </c>
      <c r="D402" s="16" t="inlineStr">
        <is>
          <t>P/O 9711</t>
        </is>
      </c>
      <c r="E402" s="17" t="n">
        <v>0</v>
      </c>
      <c r="F402" s="17" t="n">
        <v>2083.5</v>
      </c>
      <c r="G402" s="17">
        <f>((G401 + F402) - E402)</f>
        <v/>
      </c>
      <c r="H402" s="17" t="n">
        <v>2083.5</v>
      </c>
      <c r="I402" s="17" t="n">
        <v>0</v>
      </c>
    </row>
    <row r="403" ht="10.95" customHeight="1" s="9">
      <c r="A403" s="15" t="n">
        <v>46051</v>
      </c>
      <c r="B403" s="16" t="inlineStr">
        <is>
          <t>Payable Invoice</t>
        </is>
      </c>
      <c r="C403" s="16" t="inlineStr">
        <is>
          <t>Xero</t>
        </is>
      </c>
      <c r="D403" s="16" t="inlineStr">
        <is>
          <t>RPT402-1</t>
        </is>
      </c>
      <c r="E403" s="17" t="n">
        <v>469.5</v>
      </c>
      <c r="F403" s="17" t="n">
        <v>0</v>
      </c>
      <c r="G403" s="17">
        <f>((G402 + F403) - E403)</f>
        <v/>
      </c>
      <c r="H403" s="17" t="n">
        <v>-469.5</v>
      </c>
      <c r="I403" s="17" t="n">
        <v>0</v>
      </c>
    </row>
    <row r="404" ht="10.95" customHeight="1" s="9">
      <c r="A404" s="15" t="n">
        <v>46054</v>
      </c>
      <c r="B404" s="16" t="inlineStr">
        <is>
          <t>Receivable Invoice</t>
        </is>
      </c>
      <c r="C404" s="16" t="inlineStr">
        <is>
          <t>City Limousines</t>
        </is>
      </c>
      <c r="D404" s="16" t="inlineStr">
        <is>
          <t>Book</t>
        </is>
      </c>
      <c r="E404" s="17" t="n">
        <v>0</v>
      </c>
      <c r="F404" s="17" t="n">
        <v>166.5</v>
      </c>
      <c r="G404" s="17">
        <f>((G403 + F404) - E404)</f>
        <v/>
      </c>
      <c r="H404" s="17" t="n">
        <v>166.5</v>
      </c>
      <c r="I404" s="17" t="n">
        <v>0</v>
      </c>
    </row>
    <row r="405" ht="10.95" customHeight="1" s="9">
      <c r="A405" s="15" t="n">
        <v>46058</v>
      </c>
      <c r="B405" s="16" t="inlineStr">
        <is>
          <t>Payable Invoice</t>
        </is>
      </c>
      <c r="C405" s="16" t="inlineStr">
        <is>
          <t>SMART Agency</t>
        </is>
      </c>
      <c r="D405" s="16" t="inlineStr">
        <is>
          <t>SM0195</t>
        </is>
      </c>
      <c r="E405" s="17" t="n">
        <v>16666.5</v>
      </c>
      <c r="F405" s="17" t="n">
        <v>0</v>
      </c>
      <c r="G405" s="17">
        <f>((G404 + F405) - E405)</f>
        <v/>
      </c>
      <c r="H405" s="17" t="n">
        <v>-16666.5</v>
      </c>
      <c r="I405" s="17" t="n">
        <v>0</v>
      </c>
    </row>
    <row r="406" ht="10.95" customHeight="1" s="9">
      <c r="A406" s="15" t="n">
        <v>46064</v>
      </c>
      <c r="B406" s="16" t="inlineStr">
        <is>
          <t>Payable Invoice</t>
        </is>
      </c>
      <c r="C406" s="16" t="inlineStr">
        <is>
          <t>Swanston Security</t>
        </is>
      </c>
      <c r="D406" s="16" t="inlineStr">
        <is>
          <t>RPT429-1</t>
        </is>
      </c>
      <c r="E406" s="17" t="n">
        <v>496</v>
      </c>
      <c r="F406" s="17" t="n">
        <v>0</v>
      </c>
      <c r="G406" s="17">
        <f>((G405 + F406) - E406)</f>
        <v/>
      </c>
      <c r="H406" s="17" t="n">
        <v>-496</v>
      </c>
      <c r="I406" s="17" t="n">
        <v>0</v>
      </c>
    </row>
    <row r="407" ht="10.95" customHeight="1" s="9">
      <c r="A407" s="15" t="n">
        <v>46065</v>
      </c>
      <c r="B407" s="16" t="inlineStr">
        <is>
          <t>Payable Invoice</t>
        </is>
      </c>
      <c r="C407" s="16" t="inlineStr">
        <is>
          <t>Truxton Property Management</t>
        </is>
      </c>
      <c r="D407" s="16" t="inlineStr">
        <is>
          <t>RPT469-1</t>
        </is>
      </c>
      <c r="E407" s="17" t="n">
        <v>9843.5</v>
      </c>
      <c r="F407" s="17" t="n">
        <v>0</v>
      </c>
      <c r="G407" s="17">
        <f>((G406 + F407) - E407)</f>
        <v/>
      </c>
      <c r="H407" s="17" t="n">
        <v>-9843.5</v>
      </c>
      <c r="I407" s="17" t="n">
        <v>0</v>
      </c>
    </row>
    <row r="408" ht="10.95" customHeight="1" s="9">
      <c r="A408" s="15" t="n">
        <v>46067</v>
      </c>
      <c r="B408" s="16" t="inlineStr">
        <is>
          <t>Payable Invoice</t>
        </is>
      </c>
      <c r="C408" s="16" t="inlineStr">
        <is>
          <t>PowerDirect</t>
        </is>
      </c>
      <c r="D408" s="16" t="inlineStr">
        <is>
          <t>RPT445-1</t>
        </is>
      </c>
      <c r="E408" s="17" t="n">
        <v>258.5</v>
      </c>
      <c r="F408" s="17" t="n">
        <v>0</v>
      </c>
      <c r="G408" s="17">
        <f>((G407 + F408) - E408)</f>
        <v/>
      </c>
      <c r="H408" s="17" t="n">
        <v>-258.5</v>
      </c>
      <c r="I408" s="17" t="n">
        <v>0</v>
      </c>
    </row>
    <row r="409" ht="10.95" customHeight="1" s="9">
      <c r="A409" s="15" t="n">
        <v>46067</v>
      </c>
      <c r="B409" s="16" t="inlineStr">
        <is>
          <t>Receivable Invoice</t>
        </is>
      </c>
      <c r="C409" s="16" t="inlineStr">
        <is>
          <t>Ridgeway University</t>
        </is>
      </c>
      <c r="D409" s="16" t="inlineStr">
        <is>
          <t>P/O CRM08-12</t>
        </is>
      </c>
      <c r="E409" s="17" t="n">
        <v>0</v>
      </c>
      <c r="F409" s="17" t="n">
        <v>51562.5</v>
      </c>
      <c r="G409" s="17">
        <f>((G408 + F409) - E409)</f>
        <v/>
      </c>
      <c r="H409" s="17" t="n">
        <v>51562.5</v>
      </c>
      <c r="I409" s="17" t="n">
        <v>0</v>
      </c>
    </row>
    <row r="410" ht="10.95" customHeight="1" s="9">
      <c r="A410" s="15" t="n">
        <v>46068</v>
      </c>
      <c r="B410" s="16" t="inlineStr">
        <is>
          <t>Receivable Invoice</t>
        </is>
      </c>
      <c r="C410" s="16" t="inlineStr">
        <is>
          <t>Boom FM</t>
        </is>
      </c>
      <c r="D410" s="16" t="inlineStr">
        <is>
          <t>Training</t>
        </is>
      </c>
      <c r="E410" s="17" t="n">
        <v>0</v>
      </c>
      <c r="F410" s="17" t="n">
        <v>4166.5</v>
      </c>
      <c r="G410" s="17">
        <f>((G409 + F410) - E410)</f>
        <v/>
      </c>
      <c r="H410" s="17" t="n">
        <v>4166.5</v>
      </c>
      <c r="I410" s="17" t="n">
        <v>0</v>
      </c>
    </row>
    <row r="411" ht="10.95" customHeight="1" s="9">
      <c r="A411" s="15" t="n">
        <v>46069</v>
      </c>
      <c r="B411" s="16" t="inlineStr">
        <is>
          <t>Payable Invoice</t>
        </is>
      </c>
      <c r="C411" s="16" t="inlineStr">
        <is>
          <t>Net Connect</t>
        </is>
      </c>
      <c r="D411" s="16" t="inlineStr">
        <is>
          <t>RPT489-1</t>
        </is>
      </c>
      <c r="E411" s="17" t="n">
        <v>429</v>
      </c>
      <c r="F411" s="17" t="n">
        <v>0</v>
      </c>
      <c r="G411" s="17">
        <f>((G410 + F411) - E411)</f>
        <v/>
      </c>
      <c r="H411" s="17" t="n">
        <v>-429</v>
      </c>
      <c r="I411" s="17" t="n">
        <v>0</v>
      </c>
    </row>
    <row r="412" ht="10.95" customHeight="1" s="9">
      <c r="A412" s="15" t="n">
        <v>46070</v>
      </c>
      <c r="B412" s="16" t="inlineStr">
        <is>
          <t>Receivable Invoice</t>
        </is>
      </c>
      <c r="C412" s="16" t="inlineStr">
        <is>
          <t>Petrie McLoud Watson &amp; Associates</t>
        </is>
      </c>
      <c r="D412" s="16" t="inlineStr">
        <is>
          <t>Portal Proj</t>
        </is>
      </c>
      <c r="E412" s="17" t="n">
        <v>0</v>
      </c>
      <c r="F412" s="17" t="n">
        <v>11727</v>
      </c>
      <c r="G412" s="17">
        <f>((G411 + F412) - E412)</f>
        <v/>
      </c>
      <c r="H412" s="17" t="n">
        <v>11727</v>
      </c>
      <c r="I412" s="17" t="n">
        <v>0</v>
      </c>
    </row>
    <row r="413" ht="10.95" customHeight="1" s="9">
      <c r="A413" s="15" t="n">
        <v>46071</v>
      </c>
      <c r="B413" s="16" t="inlineStr">
        <is>
          <t>Receivable Invoice</t>
        </is>
      </c>
      <c r="C413" s="16" t="inlineStr">
        <is>
          <t>Boom FM</t>
        </is>
      </c>
      <c r="D413" s="16" t="inlineStr">
        <is>
          <t>Training</t>
        </is>
      </c>
      <c r="E413" s="17" t="n">
        <v>0</v>
      </c>
      <c r="F413" s="17" t="n">
        <v>8333</v>
      </c>
      <c r="G413" s="17">
        <f>((G412 + F413) - E413)</f>
        <v/>
      </c>
      <c r="H413" s="17" t="n">
        <v>8333</v>
      </c>
      <c r="I413" s="17" t="n">
        <v>0</v>
      </c>
    </row>
    <row r="414" ht="10.95" customHeight="1" s="9">
      <c r="A414" s="15" t="n">
        <v>46071</v>
      </c>
      <c r="B414" s="16" t="inlineStr">
        <is>
          <t>Receivable Credit Note</t>
        </is>
      </c>
      <c r="C414" s="16" t="inlineStr">
        <is>
          <t>Boom FM</t>
        </is>
      </c>
      <c r="D414" s="16" t="inlineStr">
        <is>
          <t>Training</t>
        </is>
      </c>
      <c r="E414" s="17" t="n">
        <v>4166.5</v>
      </c>
      <c r="F414" s="17" t="n">
        <v>0</v>
      </c>
      <c r="G414" s="17">
        <f>((G413 + F414) - E414)</f>
        <v/>
      </c>
      <c r="H414" s="17" t="n">
        <v>-4166.5</v>
      </c>
      <c r="I414" s="17" t="n">
        <v>0</v>
      </c>
    </row>
    <row r="415" ht="10.95" customHeight="1" s="9">
      <c r="A415" s="15" t="n">
        <v>46077</v>
      </c>
      <c r="B415" s="16" t="inlineStr">
        <is>
          <t>Receivable Invoice</t>
        </is>
      </c>
      <c r="C415" s="16" t="inlineStr">
        <is>
          <t>Port &amp; Philip Freight</t>
        </is>
      </c>
      <c r="D415" s="16" t="inlineStr">
        <is>
          <t>Monthly Support</t>
        </is>
      </c>
      <c r="E415" s="17" t="n">
        <v>0</v>
      </c>
      <c r="F415" s="17" t="n">
        <v>4510.5</v>
      </c>
      <c r="G415" s="17">
        <f>((G414 + F415) - E415)</f>
        <v/>
      </c>
      <c r="H415" s="17" t="n">
        <v>4510.5</v>
      </c>
      <c r="I415" s="17" t="n">
        <v>0</v>
      </c>
    </row>
    <row r="416" ht="10.95" customHeight="1" s="9">
      <c r="A416" s="15" t="n">
        <v>46077</v>
      </c>
      <c r="B416" s="16" t="inlineStr">
        <is>
          <t>Receivable Invoice</t>
        </is>
      </c>
      <c r="C416" s="16" t="inlineStr">
        <is>
          <t>Rex Media Group</t>
        </is>
      </c>
      <c r="D416" s="16" t="inlineStr">
        <is>
          <t>Monthly Support</t>
        </is>
      </c>
      <c r="E416" s="17" t="n">
        <v>0</v>
      </c>
      <c r="F416" s="17" t="n">
        <v>4510.5</v>
      </c>
      <c r="G416" s="17">
        <f>((G415 + F416) - E416)</f>
        <v/>
      </c>
      <c r="H416" s="17" t="n">
        <v>4510.5</v>
      </c>
      <c r="I416" s="17" t="n">
        <v>0</v>
      </c>
    </row>
    <row r="417" ht="10.95" customHeight="1" s="9">
      <c r="A417" s="15" t="n">
        <v>46077</v>
      </c>
      <c r="B417" s="16" t="inlineStr">
        <is>
          <t>Receivable Invoice</t>
        </is>
      </c>
      <c r="C417" s="16" t="inlineStr">
        <is>
          <t>Hamilton Smith Ltd</t>
        </is>
      </c>
      <c r="D417" s="16" t="inlineStr">
        <is>
          <t>Monthly Support</t>
        </is>
      </c>
      <c r="E417" s="17" t="n">
        <v>0</v>
      </c>
      <c r="F417" s="17" t="n">
        <v>4510.5</v>
      </c>
      <c r="G417" s="17">
        <f>((G416 + F417) - E417)</f>
        <v/>
      </c>
      <c r="H417" s="17" t="n">
        <v>4510.5</v>
      </c>
      <c r="I417" s="17" t="n">
        <v>0</v>
      </c>
    </row>
    <row r="418" ht="10.95" customHeight="1" s="9">
      <c r="A418" s="15" t="n">
        <v>46077</v>
      </c>
      <c r="B418" s="16" t="inlineStr">
        <is>
          <t>Receivable Invoice</t>
        </is>
      </c>
      <c r="C418" s="16" t="inlineStr">
        <is>
          <t>Young Bros Transport</t>
        </is>
      </c>
      <c r="D418" s="16" t="inlineStr">
        <is>
          <t>Monthly Support</t>
        </is>
      </c>
      <c r="E418" s="17" t="n">
        <v>0</v>
      </c>
      <c r="F418" s="17" t="n">
        <v>4510.5</v>
      </c>
      <c r="G418" s="17">
        <f>((G417 + F418) - E418)</f>
        <v/>
      </c>
      <c r="H418" s="17" t="n">
        <v>4510.5</v>
      </c>
      <c r="I418" s="17" t="n">
        <v>0</v>
      </c>
    </row>
    <row r="419" ht="10.95" customHeight="1" s="9">
      <c r="A419" s="15" t="n">
        <v>46078</v>
      </c>
      <c r="B419" s="16" t="inlineStr">
        <is>
          <t>Receivable Invoice</t>
        </is>
      </c>
      <c r="C419" s="16" t="inlineStr">
        <is>
          <t>DIISR - Small Business Services</t>
        </is>
      </c>
      <c r="D419" s="16" t="inlineStr">
        <is>
          <t>Yr Ref W08-143</t>
        </is>
      </c>
      <c r="E419" s="17" t="n">
        <v>0</v>
      </c>
      <c r="F419" s="17" t="n">
        <v>166.5</v>
      </c>
      <c r="G419" s="17">
        <f>((G418 + F419) - E419)</f>
        <v/>
      </c>
      <c r="H419" s="17" t="n">
        <v>166.5</v>
      </c>
      <c r="I419" s="17" t="n">
        <v>0</v>
      </c>
    </row>
    <row r="420" ht="10.95" customHeight="1" s="9">
      <c r="A420" s="15" t="n">
        <v>46078</v>
      </c>
      <c r="B420" s="16" t="inlineStr">
        <is>
          <t>Receivable Invoice</t>
        </is>
      </c>
      <c r="C420" s="16" t="inlineStr">
        <is>
          <t>DIISR - Small Business Services</t>
        </is>
      </c>
      <c r="D420" s="16" t="inlineStr">
        <is>
          <t>Yr Ref W08-143</t>
        </is>
      </c>
      <c r="E420" s="17" t="n">
        <v>0</v>
      </c>
      <c r="F420" s="17" t="n">
        <v>2083.5</v>
      </c>
      <c r="G420" s="17">
        <f>((G419 + F420) - E420)</f>
        <v/>
      </c>
      <c r="H420" s="17" t="n">
        <v>2083.5</v>
      </c>
      <c r="I420" s="17" t="n">
        <v>0</v>
      </c>
    </row>
    <row r="421" ht="10.95" customHeight="1" s="9">
      <c r="A421" s="15" t="n">
        <v>46079</v>
      </c>
      <c r="B421" s="16" t="inlineStr">
        <is>
          <t>Payable Invoice</t>
        </is>
      </c>
      <c r="C421" s="16" t="inlineStr">
        <is>
          <t>Xero</t>
        </is>
      </c>
      <c r="D421" s="16" t="inlineStr">
        <is>
          <t>RPT402-1</t>
        </is>
      </c>
      <c r="E421" s="17" t="n">
        <v>469.5</v>
      </c>
      <c r="F421" s="17" t="n">
        <v>0</v>
      </c>
      <c r="G421" s="17">
        <f>((G420 + F421) - E421)</f>
        <v/>
      </c>
      <c r="H421" s="17" t="n">
        <v>-469.5</v>
      </c>
      <c r="I421" s="17" t="n">
        <v>0</v>
      </c>
    </row>
    <row r="422" ht="10.95" customHeight="1" s="9">
      <c r="A422" s="15" t="n">
        <v>46081</v>
      </c>
      <c r="B422" s="16" t="inlineStr">
        <is>
          <t>Payable Invoice</t>
        </is>
      </c>
      <c r="C422" s="16" t="inlineStr">
        <is>
          <t>Hoyt Productions</t>
        </is>
      </c>
      <c r="D422" s="16" t="inlineStr">
        <is>
          <t>08-4123</t>
        </is>
      </c>
      <c r="E422" s="17" t="n">
        <v>49614.5</v>
      </c>
      <c r="F422" s="17" t="n">
        <v>0</v>
      </c>
      <c r="G422" s="17">
        <f>((G421 + F422) - E422)</f>
        <v/>
      </c>
      <c r="H422" s="17" t="n">
        <v>-49614.5</v>
      </c>
      <c r="I422" s="17" t="n">
        <v>0</v>
      </c>
    </row>
    <row r="423" ht="10.95" customHeight="1" s="9">
      <c r="A423" s="18" t="inlineStr">
        <is>
          <t>Total VAT</t>
        </is>
      </c>
      <c r="B423" s="18" t="n"/>
      <c r="C423" s="18" t="n"/>
      <c r="D423" s="18" t="n"/>
      <c r="E423" s="19">
        <f>SUM(E347:E422)</f>
        <v/>
      </c>
      <c r="F423" s="19">
        <f>SUM(F347:F422)</f>
        <v/>
      </c>
      <c r="G423" s="19">
        <f>G422</f>
        <v/>
      </c>
      <c r="H423" s="19">
        <f>SUM(H347:H422)</f>
        <v/>
      </c>
      <c r="I423" s="19">
        <f>SUM(I347:I422)</f>
        <v/>
      </c>
    </row>
    <row r="424" ht="10.95" customHeight="1" s="9">
      <c r="A424" s="10" t="inlineStr">
        <is>
          <t>Closing Balance</t>
        </is>
      </c>
      <c r="B424" s="10" t="n"/>
      <c r="C424" s="10" t="n"/>
      <c r="D424" s="10" t="n"/>
      <c r="E424" s="11" t="n">
        <v>12217</v>
      </c>
      <c r="F424" s="11" t="n">
        <v>0</v>
      </c>
      <c r="G424" s="11">
        <f>G422</f>
        <v/>
      </c>
      <c r="H424" s="11" t="n">
        <v>0</v>
      </c>
      <c r="I424" s="11" t="n">
        <v>0</v>
      </c>
    </row>
    <row r="425" ht="13.35" customHeight="1" s="9"/>
    <row r="426" ht="10.95" customHeight="1" s="9">
      <c r="A426" s="22" t="inlineStr">
        <is>
          <t>Total</t>
        </is>
      </c>
      <c r="B426" s="22" t="n"/>
      <c r="C426" s="22" t="n"/>
      <c r="D426" s="22" t="n"/>
      <c r="E426" s="23">
        <f>SUM(E64,E126,E132,E138,E143,E196,E201,E207,E213,E223,E237,E242,E247,E252,E258,E262,E309,E313,E319,E331,E337,E342,E423)</f>
        <v/>
      </c>
      <c r="F426" s="23">
        <f>SUM(F64,F126,F132,F138,F143,F196,F201,F207,F213,F223,F237,F242,F247,F252,F258,F262,F309,F313,F319,F331,F337,F342,F423)</f>
        <v/>
      </c>
      <c r="G426" s="23">
        <f>(E426 - F426)</f>
        <v/>
      </c>
      <c r="H426" s="23">
        <f>SUM(H64,H126,H132,H138,H143,H196,H201,H207,H213,H223,H237,H242,H247,H252,H258,H262,H309,H313,H319,H331,H337,H342,H423)</f>
        <v/>
      </c>
      <c r="I426" s="23">
        <f>SUM(I64,I126,I132,I138,I143,I196,I201,I207,I213,I223,I237,I242,I247,I252,I258,I262,I309,I313,I319,I331,I337,I342,I423)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