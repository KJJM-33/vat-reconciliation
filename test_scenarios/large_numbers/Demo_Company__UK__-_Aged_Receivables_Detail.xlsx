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d Receivables Detai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dd mmm yyyy"/>
    <numFmt numFmtId="165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 val="1"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theme="1"/>
      <sz val="9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right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vertical="center"/>
    </xf>
    <xf numFmtId="165" fontId="0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vertical="center"/>
    </xf>
    <xf numFmtId="165" fontId="6" fillId="0" borderId="2" applyAlignment="1" pivotButton="0" quotePrefix="0" xfId="0">
      <alignment horizontal="right" vertical="center"/>
    </xf>
    <xf numFmtId="0" fontId="6" fillId="2" borderId="3" applyAlignment="1" pivotButton="0" quotePrefix="0" xfId="0">
      <alignment vertical="center"/>
    </xf>
    <xf numFmtId="165" fontId="6" fillId="2" borderId="3" applyAlignment="1" pivotButton="0" quotePrefix="0" xfId="0">
      <alignment horizontal="right" vertical="center"/>
    </xf>
    <xf numFmtId="10" fontId="6" fillId="2" borderId="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tabSelected="1" view="normal" topLeftCell="A1" zoomScale="100" zoomScaleNormal="100" zoomScaleSheetLayoutView="60" workbookViewId="0">
      <selection activeCell="A1" sqref="A1"/>
    </sheetView>
  </sheetViews>
  <sheetFormatPr baseColWidth="8" defaultRowHeight="12.75"/>
  <cols>
    <col width="37" customWidth="1" style="9" min="1" max="1"/>
    <col width="12.66015625" customWidth="1" style="9" min="2" max="2"/>
    <col width="18.16015625" customWidth="1" style="9" min="3" max="3"/>
    <col width="20" customWidth="1" style="9" min="4" max="4"/>
    <col width="9.83203125" customWidth="1" style="9" min="5" max="5"/>
    <col width="12.16015625" customWidth="1" style="9" min="6" max="6"/>
    <col width="10.33203125" customWidth="1" style="9" min="7" max="7"/>
    <col width="11.16015625" customWidth="1" style="9" min="8" max="9"/>
    <col width="7.33203125" customWidth="1" style="9" min="10" max="10"/>
    <col width="9" customWidth="1" style="9" min="11" max="11"/>
  </cols>
  <sheetData>
    <row r="1" ht="16.7" customFormat="1" customHeight="1" s="1">
      <c r="A1" s="2" t="inlineStr">
        <is>
          <t>Aged Receivables Detail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4.4" customFormat="1" customHeight="1" s="3">
      <c r="A2" s="4" t="inlineStr">
        <is>
          <t>Demo Company (UK)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14.4" customFormat="1" customHeight="1" s="3">
      <c r="A3" s="4" t="inlineStr">
        <is>
          <t>As at 28 February 2026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 ht="14.4" customFormat="1" customHeight="1" s="3">
      <c r="A4" s="4" t="inlineStr">
        <is>
          <t>Ageing by due date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 ht="13.35" customHeight="1" s="9"/>
    <row r="6" ht="12.1" customFormat="1" customHeight="1" s="5">
      <c r="A6" s="6" t="inlineStr">
        <is>
          <t>Invoice Date</t>
        </is>
      </c>
      <c r="B6" s="6" t="inlineStr">
        <is>
          <t>Due Date</t>
        </is>
      </c>
      <c r="C6" s="6" t="inlineStr">
        <is>
          <t>Invoice Number</t>
        </is>
      </c>
      <c r="D6" s="6" t="inlineStr">
        <is>
          <t>Invoice Reference</t>
        </is>
      </c>
      <c r="E6" s="7" t="inlineStr">
        <is>
          <t>Current</t>
        </is>
      </c>
      <c r="F6" s="7" t="inlineStr">
        <is>
          <t>&lt; 1 Month</t>
        </is>
      </c>
      <c r="G6" s="7" t="inlineStr">
        <is>
          <t>1 Month</t>
        </is>
      </c>
      <c r="H6" s="7" t="inlineStr">
        <is>
          <t>2 Months</t>
        </is>
      </c>
      <c r="I6" s="7" t="inlineStr">
        <is>
          <t>3 Months</t>
        </is>
      </c>
      <c r="J6" s="7" t="inlineStr">
        <is>
          <t>Older</t>
        </is>
      </c>
      <c r="K6" s="7" t="inlineStr">
        <is>
          <t>Total</t>
        </is>
      </c>
    </row>
    <row r="7" ht="13.35" customHeight="1" s="9"/>
    <row r="8" ht="12.1" customFormat="1" customHeight="1" s="5">
      <c r="A8" s="8" t="inlineStr">
        <is>
          <t>City Limousines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 ht="10.95" customHeight="1" s="9">
      <c r="A9" s="10" t="n">
        <v>46018</v>
      </c>
      <c r="B9" s="10" t="n">
        <v>46028</v>
      </c>
      <c r="C9" s="11" t="inlineStr">
        <is>
          <t>INV-0017</t>
        </is>
      </c>
      <c r="D9" s="11" t="inlineStr">
        <is>
          <t>P/O 9711</t>
        </is>
      </c>
      <c r="E9" s="12" t="n">
        <v>0</v>
      </c>
      <c r="F9" s="12" t="n">
        <v>0</v>
      </c>
      <c r="G9" s="12" t="n">
        <v>12500</v>
      </c>
      <c r="H9" s="12" t="n">
        <v>0</v>
      </c>
      <c r="I9" s="12" t="n">
        <v>0</v>
      </c>
      <c r="J9" s="12" t="n">
        <v>0</v>
      </c>
      <c r="K9" s="12" t="n">
        <v>12500</v>
      </c>
    </row>
    <row r="10" ht="10.95" customHeight="1" s="9">
      <c r="A10" s="13" t="n">
        <v>46049</v>
      </c>
      <c r="B10" s="13" t="n">
        <v>46059</v>
      </c>
      <c r="C10" s="14" t="inlineStr">
        <is>
          <t>INV-0023</t>
        </is>
      </c>
      <c r="D10" s="14" t="inlineStr">
        <is>
          <t>P/O 9711</t>
        </is>
      </c>
      <c r="E10" s="15" t="n">
        <v>0</v>
      </c>
      <c r="F10" s="15" t="n">
        <v>12500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12500</v>
      </c>
    </row>
    <row r="11" ht="10.95" customHeight="1" s="9">
      <c r="A11" s="13" t="n">
        <v>46054</v>
      </c>
      <c r="B11" s="13" t="n">
        <v>46064</v>
      </c>
      <c r="C11" s="14" t="inlineStr">
        <is>
          <t>INV-0028</t>
        </is>
      </c>
      <c r="D11" s="14" t="inlineStr">
        <is>
          <t>Book</t>
        </is>
      </c>
      <c r="E11" s="15" t="n">
        <v>0</v>
      </c>
      <c r="F11" s="15" t="n">
        <v>997.5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997.5</v>
      </c>
    </row>
    <row r="12" ht="10.95" customHeight="1" s="9">
      <c r="A12" s="16" t="inlineStr">
        <is>
          <t>Total City Limousines</t>
        </is>
      </c>
      <c r="B12" s="16" t="n"/>
      <c r="C12" s="16" t="n"/>
      <c r="D12" s="16" t="n"/>
      <c r="E12" s="17">
        <f>SUM(E9:E11)</f>
        <v/>
      </c>
      <c r="F12" s="17">
        <f>SUM(F9:F11)</f>
        <v/>
      </c>
      <c r="G12" s="17">
        <f>SUM(G9:G11)</f>
        <v/>
      </c>
      <c r="H12" s="17">
        <f>SUM(H9:H11)</f>
        <v/>
      </c>
      <c r="I12" s="17">
        <f>SUM(I9:I11)</f>
        <v/>
      </c>
      <c r="J12" s="17">
        <f>SUM(J9:J11)</f>
        <v/>
      </c>
      <c r="K12" s="17">
        <f>SUM(K9:K11)</f>
        <v/>
      </c>
    </row>
    <row r="13" ht="13.35" customHeight="1" s="9"/>
    <row r="14" ht="12.1" customFormat="1" customHeight="1" s="5">
      <c r="A14" s="8" t="inlineStr">
        <is>
          <t>DIISR - Small Business Services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 ht="10.95" customHeight="1" s="9">
      <c r="A15" s="10" t="n">
        <v>46049</v>
      </c>
      <c r="B15" s="10" t="n">
        <v>46059</v>
      </c>
      <c r="C15" s="11" t="inlineStr">
        <is>
          <t>INV-0027</t>
        </is>
      </c>
      <c r="D15" s="11" t="inlineStr">
        <is>
          <t>Yr Ref W08-143</t>
        </is>
      </c>
      <c r="E15" s="12" t="n">
        <v>0</v>
      </c>
      <c r="F15" s="12" t="n">
        <v>42500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42500</v>
      </c>
    </row>
    <row r="16" ht="10.95" customHeight="1" s="9">
      <c r="A16" s="13" t="n">
        <v>46078</v>
      </c>
      <c r="B16" s="13" t="n">
        <v>46088</v>
      </c>
      <c r="C16" s="14" t="inlineStr">
        <is>
          <t>INV-0033</t>
        </is>
      </c>
      <c r="D16" s="14" t="inlineStr">
        <is>
          <t>Yr Ref W08-143</t>
        </is>
      </c>
      <c r="E16" s="15" t="n">
        <v>13497.5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13497.5</v>
      </c>
    </row>
    <row r="17" ht="10.95" customHeight="1" s="9">
      <c r="A17" s="16" t="inlineStr">
        <is>
          <t>Total DIISR - Small Business Services</t>
        </is>
      </c>
      <c r="B17" s="16" t="n"/>
      <c r="C17" s="16" t="n"/>
      <c r="D17" s="16" t="n"/>
      <c r="E17" s="17">
        <f>SUM(E15:E16)</f>
        <v/>
      </c>
      <c r="F17" s="17">
        <f>SUM(F15:F16)</f>
        <v/>
      </c>
      <c r="G17" s="17">
        <f>SUM(G15:G16)</f>
        <v/>
      </c>
      <c r="H17" s="17">
        <f>SUM(H15:H16)</f>
        <v/>
      </c>
      <c r="I17" s="17">
        <f>SUM(I15:I16)</f>
        <v/>
      </c>
      <c r="J17" s="17">
        <f>SUM(J15:J16)</f>
        <v/>
      </c>
      <c r="K17" s="17">
        <f>SUM(K15:K16)</f>
        <v/>
      </c>
    </row>
    <row r="18" ht="13.35" customHeight="1" s="9"/>
    <row r="19" ht="12.1" customFormat="1" customHeight="1" s="5">
      <c r="A19" s="8" t="inlineStr">
        <is>
          <t>Hamilton Smith Ltd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 ht="10.95" customHeight="1" s="9">
      <c r="A20" s="10" t="n">
        <v>46077</v>
      </c>
      <c r="B20" s="10" t="n">
        <v>46087</v>
      </c>
      <c r="C20" s="11" t="inlineStr">
        <is>
          <t>INV-0029</t>
        </is>
      </c>
      <c r="D20" s="11" t="inlineStr">
        <is>
          <t>Monthly Support</t>
        </is>
      </c>
      <c r="E20" s="12" t="n">
        <v>27062.5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27062.5</v>
      </c>
    </row>
    <row r="21" ht="10.95" customHeight="1" s="9">
      <c r="A21" s="16" t="inlineStr">
        <is>
          <t>Total Hamilton Smith Ltd</t>
        </is>
      </c>
      <c r="B21" s="16" t="n"/>
      <c r="C21" s="16" t="n"/>
      <c r="D21" s="16" t="n"/>
      <c r="E21" s="17">
        <f>E20</f>
        <v/>
      </c>
      <c r="F21" s="17">
        <f>F20</f>
        <v/>
      </c>
      <c r="G21" s="17">
        <f>G20</f>
        <v/>
      </c>
      <c r="H21" s="17">
        <f>H20</f>
        <v/>
      </c>
      <c r="I21" s="17">
        <f>I20</f>
        <v/>
      </c>
      <c r="J21" s="17">
        <f>J20</f>
        <v/>
      </c>
      <c r="K21" s="17">
        <f>K20</f>
        <v/>
      </c>
    </row>
    <row r="22" ht="13.35" customHeight="1" s="9"/>
    <row r="23" ht="12.1" customFormat="1" customHeight="1" s="5">
      <c r="A23" s="8" t="inlineStr">
        <is>
          <t>Port &amp; Philip Freight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 ht="10.95" customHeight="1" s="9">
      <c r="A24" s="10" t="n">
        <v>46075</v>
      </c>
      <c r="B24" s="10" t="n">
        <v>46105</v>
      </c>
      <c r="C24" s="11" t="inlineStr">
        <is>
          <t>INV-0041</t>
        </is>
      </c>
      <c r="D24" s="11" t="n"/>
      <c r="E24" s="12" t="n">
        <v>12500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12500</v>
      </c>
    </row>
    <row r="25" ht="10.95" customHeight="1" s="9">
      <c r="A25" s="13" t="n">
        <v>46076</v>
      </c>
      <c r="B25" s="13" t="n">
        <v>46106</v>
      </c>
      <c r="C25" s="14" t="inlineStr">
        <is>
          <t>INV-0042</t>
        </is>
      </c>
      <c r="D25" s="14" t="n"/>
      <c r="E25" s="15" t="n">
        <v>99750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99750</v>
      </c>
    </row>
    <row r="26" ht="10.95" customHeight="1" s="9">
      <c r="A26" s="13" t="n">
        <v>46077</v>
      </c>
      <c r="B26" s="13" t="n">
        <v>46087</v>
      </c>
      <c r="C26" s="14" t="inlineStr">
        <is>
          <t>INV-0031</t>
        </is>
      </c>
      <c r="D26" s="14" t="inlineStr">
        <is>
          <t>Monthly Support</t>
        </is>
      </c>
      <c r="E26" s="15" t="n">
        <v>27062.5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27062.5</v>
      </c>
    </row>
    <row r="27" ht="10.95" customHeight="1" s="9">
      <c r="A27" s="16" t="inlineStr">
        <is>
          <t>Total Port &amp; Philip Freight</t>
        </is>
      </c>
      <c r="B27" s="16" t="n"/>
      <c r="C27" s="16" t="n"/>
      <c r="D27" s="16" t="n"/>
      <c r="E27" s="17">
        <f>SUM(E24:E26)</f>
        <v/>
      </c>
      <c r="F27" s="17">
        <f>SUM(F24:F26)</f>
        <v/>
      </c>
      <c r="G27" s="17">
        <f>SUM(G24:G26)</f>
        <v/>
      </c>
      <c r="H27" s="17">
        <f>SUM(H24:H26)</f>
        <v/>
      </c>
      <c r="I27" s="17">
        <f>SUM(I24:I26)</f>
        <v/>
      </c>
      <c r="J27" s="17">
        <f>SUM(J24:J26)</f>
        <v/>
      </c>
      <c r="K27" s="17">
        <f>SUM(K24:K26)</f>
        <v/>
      </c>
    </row>
    <row r="28" ht="13.35" customHeight="1" s="9"/>
    <row r="29" ht="12.1" customFormat="1" customHeight="1" s="5">
      <c r="A29" s="8" t="inlineStr">
        <is>
          <t>Rex Media Group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 ht="10.95" customHeight="1" s="9">
      <c r="A30" s="10" t="n">
        <v>46077</v>
      </c>
      <c r="B30" s="10" t="n">
        <v>46087</v>
      </c>
      <c r="C30" s="11" t="inlineStr">
        <is>
          <t>INV-0032</t>
        </is>
      </c>
      <c r="D30" s="11" t="inlineStr">
        <is>
          <t>Monthly Support</t>
        </is>
      </c>
      <c r="E30" s="12" t="n">
        <v>27062.5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27062.5</v>
      </c>
    </row>
    <row r="31" ht="10.95" customHeight="1" s="9">
      <c r="A31" s="16" t="inlineStr">
        <is>
          <t>Total Rex Media Group</t>
        </is>
      </c>
      <c r="B31" s="16" t="n"/>
      <c r="C31" s="16" t="n"/>
      <c r="D31" s="16" t="n"/>
      <c r="E31" s="17">
        <f>E30</f>
        <v/>
      </c>
      <c r="F31" s="17">
        <f>F30</f>
        <v/>
      </c>
      <c r="G31" s="17">
        <f>G30</f>
        <v/>
      </c>
      <c r="H31" s="17">
        <f>H30</f>
        <v/>
      </c>
      <c r="I31" s="17">
        <f>I30</f>
        <v/>
      </c>
      <c r="J31" s="17">
        <f>J30</f>
        <v/>
      </c>
      <c r="K31" s="17">
        <f>K30</f>
        <v/>
      </c>
    </row>
    <row r="32" ht="13.35" customHeight="1" s="9"/>
    <row r="33" ht="12.1" customFormat="1" customHeight="1" s="5">
      <c r="A33" s="8" t="inlineStr">
        <is>
          <t>Young Bros Transport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 ht="10.95" customHeight="1" s="9">
      <c r="A34" s="10" t="n">
        <v>46077</v>
      </c>
      <c r="B34" s="10" t="n">
        <v>46087</v>
      </c>
      <c r="C34" s="11" t="inlineStr">
        <is>
          <t>INV-0030</t>
        </is>
      </c>
      <c r="D34" s="11" t="inlineStr">
        <is>
          <t>Monthly Support</t>
        </is>
      </c>
      <c r="E34" s="12" t="n">
        <v>27062.5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27062.5</v>
      </c>
    </row>
    <row r="35" ht="10.95" customHeight="1" s="9">
      <c r="A35" s="16" t="inlineStr">
        <is>
          <t>Total Young Bros Transport</t>
        </is>
      </c>
      <c r="B35" s="16" t="n"/>
      <c r="C35" s="16" t="n"/>
      <c r="D35" s="16" t="n"/>
      <c r="E35" s="17">
        <f>E34</f>
        <v/>
      </c>
      <c r="F35" s="17">
        <f>F34</f>
        <v/>
      </c>
      <c r="G35" s="17">
        <f>G34</f>
        <v/>
      </c>
      <c r="H35" s="17">
        <f>H34</f>
        <v/>
      </c>
      <c r="I35" s="17">
        <f>I34</f>
        <v/>
      </c>
      <c r="J35" s="17">
        <f>J34</f>
        <v/>
      </c>
      <c r="K35" s="17">
        <f>K34</f>
        <v/>
      </c>
    </row>
    <row r="36" ht="13.35" customHeight="1" s="9"/>
    <row r="37" ht="10.95" customHeight="1" s="9">
      <c r="A37" s="18" t="inlineStr">
        <is>
          <t>Total</t>
        </is>
      </c>
      <c r="B37" s="18" t="n"/>
      <c r="C37" s="18" t="n"/>
      <c r="D37" s="18" t="n"/>
      <c r="E37" s="19">
        <f>SUM(E12,E17,E21,E27,E31,E35)</f>
        <v/>
      </c>
      <c r="F37" s="19">
        <f>SUM(F12,F17,F21,F27,F31,F35)</f>
        <v/>
      </c>
      <c r="G37" s="19">
        <f>SUM(G12,G17,G21,G27,G31,G35)</f>
        <v/>
      </c>
      <c r="H37" s="19">
        <f>SUM(H12,H17,H21,H27,H31,H35)</f>
        <v/>
      </c>
      <c r="I37" s="19">
        <f>SUM(I12,I17,I21,I27,I31,I35)</f>
        <v/>
      </c>
      <c r="J37" s="19">
        <f>SUM(J12,J17,J21,J27,J31,J35)</f>
        <v/>
      </c>
      <c r="K37" s="19">
        <f>SUM(K12,K17,K21,K27,K31,K35)</f>
        <v/>
      </c>
    </row>
    <row r="38" ht="13.35" customHeight="1" s="9"/>
    <row r="39" ht="10.95" customHeight="1" s="9">
      <c r="A39" s="18" t="inlineStr">
        <is>
          <t>Percentage of total</t>
        </is>
      </c>
      <c r="B39" s="18" t="n"/>
      <c r="C39" s="18" t="n"/>
      <c r="D39" s="18" t="n"/>
      <c r="E39" s="20">
        <f>(SUM(E12,E17,E21,E27,E31,E35) / SUM(E12:J12,E17:J17,E21:J21,E27:J27,E31:J31,E35:J35))</f>
        <v/>
      </c>
      <c r="F39" s="20">
        <f>(SUM(F12,F17,F21,F27,F31,F35) / SUM(E12:J12,E17:J17,E21:J21,E27:J27,E31:J31,E35:J35))</f>
        <v/>
      </c>
      <c r="G39" s="20">
        <f>(SUM(G12,G17,G21,G27,G31,G35) / SUM(E12:J12,E17:J17,E21:J21,E27:J27,E31:J31,E35:J35))</f>
        <v/>
      </c>
      <c r="H39" s="20">
        <f>(SUM(H12,H17,H21,H27,H31,H35) / SUM(E12:J12,E17:J17,E21:J21,E27:J27,E31:J31,E35:J35))</f>
        <v/>
      </c>
      <c r="I39" s="20">
        <f>(SUM(I12,I17,I21,I27,I31,I35) / SUM(E12:J12,E17:J17,E21:J21,E27:J27,E31:J31,E35:J35))</f>
        <v/>
      </c>
      <c r="J39" s="20">
        <f>(SUM(J12,J17,J21,J27,J31,J35) / SUM(E12:J12,E17:J17,E21:J21,E27:J27,E31:J31,E35:J35))</f>
        <v/>
      </c>
      <c r="K39" s="20">
        <f>(SUM(K12,K17,K21,K27,K31,K35) / SUM(K12,K17,K21,K27,K31,K35))</f>
        <v/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2026-06-12T20:38:47Z</dcterms:created>
  <dcterms:modified xmlns:dcterms="http://purl.org/dc/terms/" xmlns:xsi="http://www.w3.org/2001/XMLSchema-instance" xsi:type="dcterms:W3CDTF">2026-06-12T20:38:47Z</dcterms:modified>
</cp:coreProperties>
</file>