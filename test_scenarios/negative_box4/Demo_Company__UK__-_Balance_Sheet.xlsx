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lance Sheet" sheetId="1" r:id="rId1"/>
  </sheets>
  <calcPr calcId="162913"/>
</workbook>
</file>

<file path=xl/sharedStrings.xml><?xml version="1.0" encoding="utf-8"?>
<sst xmlns="http://schemas.openxmlformats.org/spreadsheetml/2006/main" count="30" uniqueCount="30">
  <si>
    <t>Balance Sheet</t>
  </si>
  <si>
    <t>Demo Company (UK)</t>
  </si>
  <si>
    <t>As at 28 February 2026</t>
  </si>
  <si>
    <t>Account</t>
  </si>
  <si>
    <t>28 Feb 2026</t>
  </si>
  <si>
    <t>Fixed Assets</t>
  </si>
  <si>
    <t>Tangible Assets</t>
  </si>
  <si>
    <t>Computer Equipment</t>
  </si>
  <si>
    <t>Office Equipment</t>
  </si>
  <si>
    <t>Total Tangible Assets</t>
  </si>
  <si>
    <t>Total Fixed Assets</t>
  </si>
  <si>
    <t>Current Assets</t>
  </si>
  <si>
    <t>Cash at bank and in hand</t>
  </si>
  <si>
    <t>Business Bank Account</t>
  </si>
  <si>
    <t>Total Cash at bank and in hand</t>
  </si>
  <si>
    <t>Accounts Receivable</t>
  </si>
  <si>
    <t>Total Current Assets</t>
  </si>
  <si>
    <t>Creditors: amounts falling due within one year</t>
  </si>
  <si>
    <t>Accounts Payable</t>
  </si>
  <si>
    <t>Historical Adjustment</t>
  </si>
  <si>
    <t>Unpaid Expense Claims</t>
  </si>
  <si>
    <t>VAT</t>
  </si>
  <si>
    <t>Total Creditors: amounts falling due within one year</t>
  </si>
  <si>
    <t>Net Current Assets (Liabilities)</t>
  </si>
  <si>
    <t>Total Assets less Current Liabilities</t>
  </si>
  <si>
    <t>Net Assets</t>
  </si>
  <si>
    <t>Capital and Reserves</t>
  </si>
  <si>
    <t>Current Year Earnings</t>
  </si>
  <si>
    <t>Retained Earnings</t>
  </si>
  <si>
    <t>Total Capital and 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</si>
</sst>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vertical="center"/>
    </xf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6" fillId="0" borderId="0" xfId="0" applyFont="true" applyAlignment="true">
      <alignment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6" fillId="2" borderId="3" xfId="0" applyFont="true" applyFill="true" applyBorder="true" applyAlignment="true">
      <alignment vertical="center"/>
    </xf>
    <xf numFmtId="164" fontId="6" fillId="2" borderId="3" xfId="0" applyNumberFormat="true" applyFont="true" applyFill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C37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.3671875" customWidth="1"/>
    <col min="2" max="2" width="34.83203125" customWidth="1"/>
    <col min="3" max="3" width="13.83203125" customWidth="1"/>
  </cols>
  <sheetData>
    <row r="1" ht="16.7" customHeight="true" customFormat="true" s="1">
      <c r="A1" s="2" t="s">
        <v>0</v>
      </c>
      <c r="B1" s="2"/>
      <c r="C1" s="2"/>
    </row>
    <row r="2" ht="14.4" customHeight="true" customFormat="true" s="3">
      <c r="A2" s="4" t="s">
        <v>1</v>
      </c>
      <c r="B2" s="4"/>
      <c r="C2" s="4"/>
    </row>
    <row r="3" ht="14.4" customHeight="true" customFormat="true" s="3">
      <c r="A3" s="4" t="s">
        <v>2</v>
      </c>
      <c r="B3" s="4"/>
      <c r="C3" s="4"/>
    </row>
    <row r="4" ht="13.35" customHeight="true"/>
    <row r="5" ht="12.1" customHeight="true" customFormat="true" s="5">
      <c r="A5" s="6"/>
      <c r="B5" s="7" t="s">
        <v>3</v>
      </c>
      <c r="C5" s="8" t="s">
        <v>4</v>
      </c>
    </row>
    <row r="6" ht="13.35" customHeight="true"/>
    <row r="7" ht="12.1" customHeight="true" customFormat="true" s="5">
      <c r="A7" s="6" t="s">
        <v>5</v>
      </c>
      <c r="B7" s="6"/>
      <c r="C7" s="6"/>
    </row>
    <row r="8" ht="10.95" customHeight="true" customFormat="true" s="9">
      <c r="A8" s="10"/>
      <c r="B8" s="10" t="s">
        <v>6</v>
      </c>
      <c r="C8" s="10"/>
    </row>
    <row r="9" ht="10.95" customHeight="true" customFormat="true" s="9">
      <c r="B9" s="11" t="s">
        <v>7</v>
      </c>
      <c r="C9" s="12">
        <v>-985.6700</v>
      </c>
    </row>
    <row r="10" ht="10.95" customHeight="true" customFormat="true" s="9">
      <c r="B10" s="11" t="s">
        <v>8</v>
      </c>
      <c r="C10" s="12">
        <v>2569.0000</v>
      </c>
    </row>
    <row r="11" ht="10.95" customHeight="true" customFormat="true" s="9">
      <c r="B11" s="13" t="s">
        <v>9</v>
      </c>
      <c r="C11" s="14">
        <f ca="1">SUM(C9:C10)</f>
        <v>0</v>
      </c>
    </row>
    <row r="12" ht="10.95" customHeight="true" customFormat="true" s="9">
      <c r="A12" s="13" t="s">
        <v>10</v>
      </c>
      <c r="C12" s="14">
        <f ca="1">(0 + C11)</f>
        <v>0</v>
      </c>
    </row>
    <row r="13" ht="13.35" customHeight="true"/>
    <row r="14" ht="12.1" customHeight="true" customFormat="true" s="5">
      <c r="A14" s="6" t="s">
        <v>11</v>
      </c>
      <c r="B14" s="6"/>
      <c r="C14" s="6"/>
    </row>
    <row r="15" ht="10.95" customHeight="true" customFormat="true" s="9">
      <c r="A15" s="10"/>
      <c r="B15" s="10" t="s">
        <v>12</v>
      </c>
      <c r="C15" s="10"/>
    </row>
    <row r="16" ht="10.95" customHeight="true" customFormat="true" s="9">
      <c r="B16" s="11" t="s">
        <v>13</v>
      </c>
      <c r="C16" s="12">
        <v>7343.9300</v>
      </c>
    </row>
    <row r="17" ht="10.95" customHeight="true" customFormat="true" s="9">
      <c r="B17" s="13" t="s">
        <v>14</v>
      </c>
      <c r="C17" s="14">
        <f ca="1">C16</f>
        <v>0</v>
      </c>
    </row>
    <row r="18" ht="10.95" customHeight="true" customFormat="true" s="9">
      <c r="B18" s="11" t="s">
        <v>15</v>
      </c>
      <c r="C18" s="12">
        <v>6049.9000</v>
      </c>
    </row>
    <row r="19" ht="10.95" customHeight="true" customFormat="true" s="9">
      <c r="A19" s="13" t="s">
        <v>16</v>
      </c>
      <c r="C19" s="14">
        <f ca="1">(C18 + C17)</f>
        <v>0</v>
      </c>
    </row>
    <row r="20" ht="13.35" customHeight="true"/>
    <row r="21" ht="12.1" customHeight="true" customFormat="true" s="5">
      <c r="A21" s="6" t="s">
        <v>17</v>
      </c>
      <c r="B21" s="6"/>
      <c r="C21" s="6"/>
    </row>
    <row r="22" ht="10.95" customHeight="true" customFormat="true" s="9">
      <c r="B22" s="15" t="s">
        <v>18</v>
      </c>
      <c r="C22" s="16">
        <v>9362.6900</v>
      </c>
    </row>
    <row r="23" ht="10.95" customHeight="true" customFormat="true" s="9">
      <c r="B23" s="11" t="s">
        <v>19</v>
      </c>
      <c r="C23" s="12">
        <v>4130.9800</v>
      </c>
    </row>
    <row r="24" ht="10.95" customHeight="true" customFormat="true" s="9">
      <c r="B24" s="11" t="s">
        <v>20</v>
      </c>
      <c r="C24" s="12">
        <v>34.9000</v>
      </c>
    </row>
    <row r="25" ht="10.95" customHeight="true" customFormat="true" s="9">
      <c r="B25" s="11" t="s">
        <v>21</v>
      </c>
      <c r="C25" s="12">
        <v>-244.3400</v>
      </c>
    </row>
    <row r="26" ht="10.95" customHeight="true" customFormat="true" s="9">
      <c r="A26" s="13" t="s">
        <v>22</v>
      </c>
      <c r="C26" s="14">
        <f ca="1">SUM(C22:C25)</f>
        <v>0</v>
      </c>
    </row>
    <row r="27" ht="13.35" customHeight="true"/>
    <row r="28" ht="10.95" customHeight="true" customFormat="true" s="9">
      <c r="B28" s="17" t="s">
        <v>23</v>
      </c>
      <c r="C28" s="18">
        <f ca="1">(C19 - C26)</f>
        <v>0</v>
      </c>
    </row>
    <row r="29" ht="13.35" customHeight="true"/>
    <row r="30" ht="10.95" customHeight="true" customFormat="true" s="9">
      <c r="B30" s="17" t="s">
        <v>24</v>
      </c>
      <c r="C30" s="18">
        <f ca="1">(C12 + C28)</f>
        <v>0</v>
      </c>
    </row>
    <row r="31" ht="13.35" customHeight="true"/>
    <row r="32" ht="10.95" customHeight="true" customFormat="true" s="9">
      <c r="B32" s="17" t="s">
        <v>25</v>
      </c>
      <c r="C32" s="18">
        <f ca="1">(C30 - (0 + 0))</f>
        <v>0</v>
      </c>
    </row>
    <row r="33" ht="13.35" customHeight="true"/>
    <row r="34" ht="12.1" customHeight="true" customFormat="true" s="5">
      <c r="A34" s="6" t="s">
        <v>26</v>
      </c>
      <c r="B34" s="6"/>
      <c r="C34" s="6"/>
    </row>
    <row r="35" ht="10.95" customHeight="true" customFormat="true" s="9">
      <c r="B35" s="15" t="s">
        <v>27</v>
      </c>
      <c r="C35" s="16">
        <v>9979.2100</v>
      </c>
    </row>
    <row r="36" ht="10.95" customHeight="true" customFormat="true" s="9">
      <c r="B36" s="11" t="s">
        <v>28</v>
      </c>
      <c r="C36" s="12">
        <v>-8286.2800</v>
      </c>
    </row>
    <row r="37" ht="10.95" customHeight="true" customFormat="true" s="9">
      <c r="A37" s="13" t="s">
        <v>29</v>
      </c>
      <c r="C37" s="14">
        <f ca="1">SUM(C35:C36)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